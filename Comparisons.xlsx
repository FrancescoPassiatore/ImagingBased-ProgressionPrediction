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rancescoP\ImagingBased-ProgressionPrediction\"/>
    </mc:Choice>
  </mc:AlternateContent>
  <xr:revisionPtr revIDLastSave="0" documentId="8_{799EF021-FBA7-4581-983A-86D5E80FBBDF}" xr6:coauthVersionLast="47" xr6:coauthVersionMax="47" xr10:uidLastSave="{00000000-0000-0000-0000-000000000000}"/>
  <bookViews>
    <workbookView xWindow="-108" yWindow="-108" windowWidth="23256" windowHeight="12576" xr2:uid="{2EE0F8F3-7531-4A73-A202-515B415B47BD}"/>
  </bookViews>
  <sheets>
    <sheet name="Tables_comparis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</calcChain>
</file>

<file path=xl/sharedStrings.xml><?xml version="1.0" encoding="utf-8"?>
<sst xmlns="http://schemas.openxmlformats.org/spreadsheetml/2006/main" count="201" uniqueCount="71">
  <si>
    <t>Slope distribution</t>
  </si>
  <si>
    <t>Fold 0</t>
  </si>
  <si>
    <t>Fold 1</t>
  </si>
  <si>
    <t>Fold 2</t>
  </si>
  <si>
    <t>Fold 3</t>
  </si>
  <si>
    <t>Fold 4</t>
  </si>
  <si>
    <t>Global</t>
  </si>
  <si>
    <t>FVC(52) prediction</t>
  </si>
  <si>
    <t>Progress prediction</t>
  </si>
  <si>
    <t>MAE</t>
  </si>
  <si>
    <t>RMSE</t>
  </si>
  <si>
    <t>R^2</t>
  </si>
  <si>
    <t>Mean</t>
  </si>
  <si>
    <t>Median</t>
  </si>
  <si>
    <t>Std</t>
  </si>
  <si>
    <t>Extreme_pct</t>
  </si>
  <si>
    <t>1std</t>
  </si>
  <si>
    <t>Average</t>
  </si>
  <si>
    <t>Accuracy</t>
  </si>
  <si>
    <t>Precision</t>
  </si>
  <si>
    <t>Recall</t>
  </si>
  <si>
    <t>F1-Score</t>
  </si>
  <si>
    <t>Specificity</t>
  </si>
  <si>
    <t>AUC</t>
  </si>
  <si>
    <t>AP</t>
  </si>
  <si>
    <t>Min</t>
  </si>
  <si>
    <t>Max</t>
  </si>
  <si>
    <t>Train</t>
  </si>
  <si>
    <t>Validation</t>
  </si>
  <si>
    <t>Test</t>
  </si>
  <si>
    <t>N</t>
  </si>
  <si>
    <t>247.64 ± 29.33</t>
  </si>
  <si>
    <t>335.13 ± 41.12</t>
  </si>
  <si>
    <t>0.8297 ± 0.0575</t>
  </si>
  <si>
    <t>All folds</t>
  </si>
  <si>
    <t>0.474 ± 0.079</t>
  </si>
  <si>
    <t>0.737 ± 0.255</t>
  </si>
  <si>
    <t>0.241 ± 0.163</t>
  </si>
  <si>
    <t>0.316 ± 0.182</t>
  </si>
  <si>
    <t>0.816 ± 0.152</t>
  </si>
  <si>
    <t>0.545 ± 0.116</t>
  </si>
  <si>
    <t>0.645 ± 0.117</t>
  </si>
  <si>
    <t>248.28 ± 31.54</t>
  </si>
  <si>
    <t>331.65 ± 44.58</t>
  </si>
  <si>
    <t>0.8326 ± 0.0601</t>
  </si>
  <si>
    <t>0.505 ± 0.070</t>
  </si>
  <si>
    <t>0.671 ± 0.135</t>
  </si>
  <si>
    <t>0.399 ± 0.154</t>
  </si>
  <si>
    <t>0.464 ± 0.123</t>
  </si>
  <si>
    <t>0.694 ± 0.196</t>
  </si>
  <si>
    <t>0.580 ± 0.086</t>
  </si>
  <si>
    <t>0.653 ± 0.111</t>
  </si>
  <si>
    <t>All Folds</t>
  </si>
  <si>
    <t>256.72 ± 35.19</t>
  </si>
  <si>
    <t>338.89 ± 43.91</t>
  </si>
  <si>
    <t>0.8255 ± 0.0621</t>
  </si>
  <si>
    <t>0.536 ± 0.098</t>
  </si>
  <si>
    <t>0.761 ± 0.205</t>
  </si>
  <si>
    <t>0.463 ± 0.256</t>
  </si>
  <si>
    <t>0.488 ± 0.213</t>
  </si>
  <si>
    <t>0.679 ± 0.285</t>
  </si>
  <si>
    <t>0.541 ± 0.101</t>
  </si>
  <si>
    <t>0.650 ± 0.108</t>
  </si>
  <si>
    <t>Progress Prediction - Summary</t>
  </si>
  <si>
    <t xml:space="preserve">Training 1 - MSE , slopes no normalization, no attention, weight sampling </t>
  </si>
  <si>
    <t xml:space="preserve">Training 2 - MSE , slopes normalization, no attention, weight sampling </t>
  </si>
  <si>
    <t xml:space="preserve">Training 3 - Huber(3.0) , slopes no normalization, attention, weight sampling </t>
  </si>
  <si>
    <t>Training</t>
  </si>
  <si>
    <t>Training 1 (MSE-no norm)</t>
  </si>
  <si>
    <t>Training 2 (MSE)</t>
  </si>
  <si>
    <t>Training 3 (Huber)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</si>
</sst>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/>
    <xf numFmtId="0" fontId="0" fillId="0" borderId="3" xfId="0" applyBorder="1" applyAlignment="1"/>
    <xf numFmtId="0" fontId="1" fillId="0" borderId="0" xfId="0" applyFont="1" applyAlignment="1">
      <alignment horizontal="center"/>
    </xf>
    <xf numFmtId="0" fontId="0" fillId="0" borderId="1" xfId="0" applyFill="1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/>
    <xf numFmtId="0" fontId="0" fillId="0" borderId="6" xfId="0" applyFill="1" applyBorder="1"/>
    <xf numFmtId="0" fontId="0" fillId="0" borderId="6" xfId="0" applyBorder="1"/>
    <xf numFmtId="10" fontId="0" fillId="0" borderId="1" xfId="0" applyNumberFormat="1" applyBorder="1"/>
    <xf numFmtId="9" fontId="0" fillId="0" borderId="1" xfId="0" applyNumberFormat="1" applyBorder="1"/>
    <xf numFmtId="10" fontId="0" fillId="0" borderId="2" xfId="0" applyNumberFormat="1" applyBorder="1"/>
    <xf numFmtId="0" fontId="0" fillId="0" borderId="0" xfId="0" applyFill="1" applyBorder="1"/>
    <xf numFmtId="0" fontId="0" fillId="0" borderId="0" xfId="0" applyBorder="1"/>
    <xf numFmtId="0" fontId="1" fillId="0" borderId="6" xfId="0" applyFont="1" applyBorder="1"/>
    <xf numFmtId="0" fontId="1" fillId="0" borderId="1" xfId="0" applyFont="1" applyBorder="1"/>
    <xf numFmtId="0" fontId="1" fillId="0" borderId="4" xfId="0" applyFont="1" applyFill="1" applyBorder="1"/>
    <xf numFmtId="0" fontId="1" fillId="0" borderId="1" xfId="0" applyFont="1" applyFill="1" applyBorder="1"/>
    <xf numFmtId="0" fontId="0" fillId="0" borderId="1" xfId="0" applyFont="1" applyBorder="1"/>
    <xf numFmtId="0" fontId="1" fillId="0" borderId="2" xfId="0" applyFont="1" applyBorder="1"/>
    <xf numFmtId="0" fontId="1" fillId="0" borderId="7" xfId="0" applyFont="1" applyBorder="1"/>
    <xf numFmtId="0" fontId="1" fillId="0" borderId="3" xfId="0" applyFont="1" applyBorder="1"/>
    <xf numFmtId="2" fontId="0" fillId="0" borderId="1" xfId="0" applyNumberFormat="1" applyBorder="1"/>
    <xf numFmtId="0" fontId="1" fillId="0" borderId="8" xfId="0" applyFont="1" applyBorder="1" applyAlignment="1">
      <alignment horizontal="center"/>
    </xf>
    <xf numFmtId="0" fontId="1" fillId="0" borderId="9" xfId="0" applyFont="1" applyBorder="1"/>
    <xf numFmtId="0" fontId="1" fillId="0" borderId="9" xfId="0" applyFont="1" applyFill="1" applyBorder="1"/>
    <xf numFmtId="0" fontId="1" fillId="0" borderId="10" xfId="0" applyFont="1" applyFill="1" applyBorder="1"/>
    <xf numFmtId="0" fontId="0" fillId="0" borderId="5" xfId="0" applyBorder="1"/>
    <xf numFmtId="0" fontId="0" fillId="0" borderId="4" xfId="0" applyBorder="1"/>
    <xf numFmtId="0" fontId="1" fillId="0" borderId="0" xfId="0" applyFont="1" applyBorder="1" applyAlignment="1">
      <alignment horizontal="center"/>
    </xf>
    <xf numFmtId="0" fontId="1" fillId="0" borderId="0" xfId="0" applyFont="1" applyBorder="1"/>
    <xf numFmtId="0" fontId="1" fillId="0" borderId="0" xfId="0" applyFont="1" applyFill="1" applyBorder="1"/>
  </cellXfs>
  <cellStyles count="1">
    <cellStyle name="Normal" xfId="0" builtinId="0"/>
  </cellStyles>
  <dxfs count="11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226616</xdr:colOff>
      <xdr:row>4</xdr:row>
      <xdr:rowOff>85613</xdr:rowOff>
    </xdr:from>
    <xdr:to>
      <xdr:col>16</xdr:col>
      <xdr:colOff>484095</xdr:colOff>
      <xdr:row>25</xdr:row>
      <xdr:rowOff>34655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E10F31-7E27-54E7-E725-69DC1F738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604" y="802789"/>
          <a:ext cx="5985926" cy="3687325"/>
        </a:xfrm>
        <a:prstGeom prst="rect">
          <a:avLst/>
        </a:prstGeom>
      </xdr:spPr>
    </xdr:pic>
    <xdr:clientData/>
  </xdr:twoCellAnchor>
  <xdr:twoCellAnchor editAs="oneCell">
    <xdr:from>
      <xdr:col>17</xdr:col>
      <xdr:colOff>385482</xdr:colOff>
      <xdr:row>32</xdr:row>
      <xdr:rowOff>89647</xdr:rowOff>
    </xdr:from>
    <xdr:to>
      <xdr:col>21</xdr:col>
      <xdr:colOff>116394</xdr:colOff>
      <xdr:row>43</xdr:row>
      <xdr:rowOff>125506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A432761-2F24-2E4E-415B-74B134735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30282" y="5800165"/>
          <a:ext cx="2913383" cy="2008094"/>
        </a:xfrm>
        <a:prstGeom prst="rect">
          <a:avLst/>
        </a:prstGeom>
      </xdr:spPr>
    </xdr:pic>
    <xdr:clientData/>
  </xdr:twoCellAnchor>
  <xdr:twoCellAnchor editAs="oneCell">
    <xdr:from>
      <xdr:col>6</xdr:col>
      <xdr:colOff>322730</xdr:colOff>
      <xdr:row>56</xdr:row>
      <xdr:rowOff>1</xdr:rowOff>
    </xdr:from>
    <xdr:to>
      <xdr:col>8</xdr:col>
      <xdr:colOff>787828</xdr:colOff>
      <xdr:row>67</xdr:row>
      <xdr:rowOff>89647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DBAF4A-C226-266C-E962-8686BDFB8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53201" y="10013577"/>
          <a:ext cx="2822815" cy="2061882"/>
        </a:xfrm>
        <a:prstGeom prst="rect">
          <a:avLst/>
        </a:prstGeom>
      </xdr:spPr>
    </xdr:pic>
    <xdr:clientData/>
  </xdr:twoCellAnchor>
  <xdr:twoCellAnchor editAs="oneCell">
    <xdr:from>
      <xdr:col>6</xdr:col>
      <xdr:colOff>268941</xdr:colOff>
      <xdr:row>33</xdr:row>
      <xdr:rowOff>8963</xdr:rowOff>
    </xdr:from>
    <xdr:to>
      <xdr:col>8</xdr:col>
      <xdr:colOff>708212</xdr:colOff>
      <xdr:row>44</xdr:row>
      <xdr:rowOff>19607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607F24-27D4-390B-8758-C3A5D9C8F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99412" y="5898775"/>
          <a:ext cx="2796988" cy="198287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AEFBCC-FF40-4F66-B649-0C96AC862806}" name="Table2" displayName="Table2" ref="A25:H28" totalsRowShown="0" headerRowDxfId="4" headerRowBorderDxfId="9" tableBorderDxfId="10" totalsRowBorderDxfId="8">
  <autoFilter ref="A25:H28" xr:uid="{3DAEFBCC-FF40-4F66-B649-0C96AC862806}"/>
  <tableColumns count="8">
    <tableColumn id="1" xr3:uid="{1AB4FC38-4517-44F4-A99A-E57AA670AD0F}" name="Training" dataDxfId="7"/>
    <tableColumn id="3" xr3:uid="{B424091A-0662-4390-A0BE-918C2A0A03FC}" name="Accuracy" dataDxfId="3"/>
    <tableColumn id="4" xr3:uid="{EB3FD60A-926F-457D-B1BB-C6AA1875C8C0}" name="Precision" dataDxfId="2"/>
    <tableColumn id="5" xr3:uid="{DD322310-0117-4984-99C0-4E835D410D91}" name="Recall" dataDxfId="1"/>
    <tableColumn id="6" xr3:uid="{E019C0FD-7F71-4FCD-A98E-66D99246B5AB}" name="F1-Score" dataDxfId="0"/>
    <tableColumn id="7" xr3:uid="{DC66C15B-74CC-4F2B-858F-2B2AA38304B0}" name="Specificity" dataDxfId="6"/>
    <tableColumn id="8" xr3:uid="{47AE70D0-AB50-4496-AFB0-1AD3D4827CA8}" name="AUC"/>
    <tableColumn id="9" xr3:uid="{45ADE258-6CA2-422A-81B2-1753A5D5207C}" name="AP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68E34-A5AC-46DE-BB00-B66C779675C6}">
  <dimension ref="A1:S78"/>
  <sheetViews>
    <sheetView tabSelected="1" topLeftCell="A25" zoomScale="85" zoomScaleNormal="85" workbookViewId="0">
      <selection activeCell="D49" sqref="D49"/>
    </sheetView>
  </sheetViews>
  <sheetFormatPr defaultRowHeight="13.8" x14ac:dyDescent="0.25"/>
  <cols>
    <col min="1" max="1" width="21.3984375" customWidth="1"/>
    <col min="2" max="2" width="14.3984375" customWidth="1"/>
    <col min="3" max="3" width="14.296875" customWidth="1"/>
    <col min="4" max="4" width="15.09765625" customWidth="1"/>
    <col min="5" max="5" width="14.3984375" customWidth="1"/>
    <col min="6" max="6" width="13.796875" customWidth="1"/>
    <col min="7" max="7" width="15.3984375" customWidth="1"/>
    <col min="8" max="8" width="15.5" customWidth="1"/>
    <col min="9" max="9" width="11.5" customWidth="1"/>
    <col min="13" max="13" width="12.296875" customWidth="1"/>
    <col min="14" max="15" width="12.3984375" customWidth="1"/>
    <col min="16" max="16" width="11.69921875" customWidth="1"/>
    <col min="17" max="17" width="12.09765625" customWidth="1"/>
    <col min="18" max="18" width="12" customWidth="1"/>
    <col min="19" max="19" width="12.09765625" customWidth="1"/>
  </cols>
  <sheetData>
    <row r="1" spans="1:8" x14ac:dyDescent="0.25">
      <c r="A1" s="19" t="s">
        <v>0</v>
      </c>
      <c r="B1" s="20" t="s">
        <v>30</v>
      </c>
      <c r="C1" s="19" t="s">
        <v>12</v>
      </c>
      <c r="D1" s="19" t="s">
        <v>14</v>
      </c>
      <c r="E1" s="21" t="s">
        <v>15</v>
      </c>
      <c r="F1" s="22" t="s">
        <v>16</v>
      </c>
      <c r="G1" s="17"/>
      <c r="H1" s="17"/>
    </row>
    <row r="2" spans="1:8" x14ac:dyDescent="0.25">
      <c r="A2" s="20" t="s">
        <v>6</v>
      </c>
      <c r="B2" s="1">
        <v>176</v>
      </c>
      <c r="C2" s="1">
        <v>-4.5199999999999996</v>
      </c>
      <c r="D2" s="1">
        <v>6.12</v>
      </c>
      <c r="E2" s="16">
        <v>0.14199999999999999</v>
      </c>
      <c r="F2" s="14">
        <v>0.78400000000000003</v>
      </c>
      <c r="G2" s="17"/>
      <c r="H2" s="17"/>
    </row>
    <row r="3" spans="1:8" x14ac:dyDescent="0.25">
      <c r="A3" s="24" t="s">
        <v>1</v>
      </c>
      <c r="B3" s="25"/>
      <c r="C3" s="25"/>
      <c r="D3" s="25"/>
      <c r="E3" s="25"/>
      <c r="F3" s="26"/>
      <c r="G3" s="18"/>
      <c r="H3" s="18"/>
    </row>
    <row r="4" spans="1:8" x14ac:dyDescent="0.25">
      <c r="A4" s="8" t="s">
        <v>27</v>
      </c>
      <c r="B4" s="1">
        <v>105</v>
      </c>
      <c r="C4" s="1">
        <v>-4.18</v>
      </c>
      <c r="D4" s="1">
        <v>5.98</v>
      </c>
      <c r="E4" s="16">
        <v>0.152</v>
      </c>
      <c r="F4" s="14">
        <v>0.752</v>
      </c>
      <c r="G4" s="18"/>
      <c r="H4" s="18"/>
    </row>
    <row r="5" spans="1:8" x14ac:dyDescent="0.25">
      <c r="A5" s="8" t="s">
        <v>28</v>
      </c>
      <c r="B5" s="1">
        <v>35</v>
      </c>
      <c r="C5" s="1">
        <v>-5.33</v>
      </c>
      <c r="D5" s="1">
        <v>5.18</v>
      </c>
      <c r="E5" s="16">
        <v>8.5999999999999993E-2</v>
      </c>
      <c r="F5" s="14">
        <v>0.82899999999999996</v>
      </c>
      <c r="G5" s="18"/>
      <c r="H5" s="18"/>
    </row>
    <row r="6" spans="1:8" x14ac:dyDescent="0.25">
      <c r="A6" s="8" t="s">
        <v>29</v>
      </c>
      <c r="B6" s="1">
        <v>36</v>
      </c>
      <c r="C6" s="1">
        <v>-4.7300000000000004</v>
      </c>
      <c r="D6" s="1">
        <v>7.19</v>
      </c>
      <c r="E6" s="16">
        <v>0.16700000000000001</v>
      </c>
      <c r="F6" s="14">
        <v>0.83299999999999996</v>
      </c>
      <c r="G6" s="18"/>
      <c r="H6" s="18"/>
    </row>
    <row r="7" spans="1:8" x14ac:dyDescent="0.25">
      <c r="A7" s="24" t="s">
        <v>2</v>
      </c>
      <c r="B7" s="25"/>
      <c r="C7" s="25"/>
      <c r="D7" s="25"/>
      <c r="E7" s="25"/>
      <c r="F7" s="26"/>
      <c r="G7" s="18"/>
      <c r="H7" s="18"/>
    </row>
    <row r="8" spans="1:8" x14ac:dyDescent="0.25">
      <c r="A8" s="8" t="s">
        <v>27</v>
      </c>
      <c r="B8" s="1">
        <v>106</v>
      </c>
      <c r="C8" s="1">
        <v>-4.84</v>
      </c>
      <c r="D8" s="1">
        <v>6.4</v>
      </c>
      <c r="E8" s="16">
        <v>0.17</v>
      </c>
      <c r="F8" s="14">
        <v>0.78300000000000003</v>
      </c>
      <c r="G8" s="18"/>
      <c r="H8" s="18"/>
    </row>
    <row r="9" spans="1:8" x14ac:dyDescent="0.25">
      <c r="A9" s="8" t="s">
        <v>28</v>
      </c>
      <c r="B9" s="1">
        <v>35</v>
      </c>
      <c r="C9" s="1">
        <v>-2.77</v>
      </c>
      <c r="D9" s="1">
        <v>5.78</v>
      </c>
      <c r="E9" s="16">
        <v>0.114</v>
      </c>
      <c r="F9" s="14">
        <v>0.77100000000000002</v>
      </c>
      <c r="G9" s="18"/>
      <c r="H9" s="18"/>
    </row>
    <row r="10" spans="1:8" ht="12" customHeight="1" x14ac:dyDescent="0.25">
      <c r="A10" s="8" t="s">
        <v>29</v>
      </c>
      <c r="B10" s="1">
        <v>35</v>
      </c>
      <c r="C10" s="1">
        <v>-5.33</v>
      </c>
      <c r="D10" s="1">
        <v>5.18</v>
      </c>
      <c r="E10" s="16">
        <v>8.5999999999999993E-2</v>
      </c>
      <c r="F10" s="14">
        <v>0.82899999999999996</v>
      </c>
      <c r="G10" s="18"/>
      <c r="H10" s="18"/>
    </row>
    <row r="11" spans="1:8" x14ac:dyDescent="0.25">
      <c r="A11" s="24" t="s">
        <v>3</v>
      </c>
      <c r="B11" s="25"/>
      <c r="C11" s="25"/>
      <c r="D11" s="25"/>
      <c r="E11" s="25"/>
      <c r="F11" s="26"/>
      <c r="G11" s="18"/>
      <c r="H11" s="18"/>
    </row>
    <row r="12" spans="1:8" x14ac:dyDescent="0.25">
      <c r="A12" s="8" t="s">
        <v>27</v>
      </c>
      <c r="B12" s="1">
        <v>106</v>
      </c>
      <c r="C12" s="1">
        <v>-4.8</v>
      </c>
      <c r="D12" s="1">
        <v>6.16</v>
      </c>
      <c r="E12" s="16">
        <v>0.13200000000000001</v>
      </c>
      <c r="F12" s="14">
        <v>0.80200000000000005</v>
      </c>
      <c r="G12" s="18"/>
      <c r="H12" s="18"/>
    </row>
    <row r="13" spans="1:8" x14ac:dyDescent="0.25">
      <c r="A13" s="8" t="s">
        <v>28</v>
      </c>
      <c r="B13" s="1">
        <v>35</v>
      </c>
      <c r="C13" s="1">
        <v>-5.46</v>
      </c>
      <c r="D13" s="1">
        <v>5.97</v>
      </c>
      <c r="E13" s="16">
        <v>0.2</v>
      </c>
      <c r="F13" s="14">
        <v>0.68600000000000005</v>
      </c>
      <c r="G13" s="18"/>
      <c r="H13" s="18"/>
    </row>
    <row r="14" spans="1:8" x14ac:dyDescent="0.25">
      <c r="A14" s="8" t="s">
        <v>29</v>
      </c>
      <c r="B14" s="1">
        <v>35</v>
      </c>
      <c r="C14" s="1">
        <v>-2.77</v>
      </c>
      <c r="D14" s="1">
        <v>5.78</v>
      </c>
      <c r="E14" s="16">
        <v>0.114</v>
      </c>
      <c r="F14" s="14">
        <v>0.77100000000000002</v>
      </c>
      <c r="G14" s="18"/>
      <c r="H14" s="18"/>
    </row>
    <row r="15" spans="1:8" x14ac:dyDescent="0.25">
      <c r="A15" s="24" t="s">
        <v>4</v>
      </c>
      <c r="B15" s="25"/>
      <c r="C15" s="25"/>
      <c r="D15" s="25"/>
      <c r="E15" s="25"/>
      <c r="F15" s="26"/>
      <c r="G15" s="18"/>
      <c r="H15" s="18"/>
    </row>
    <row r="16" spans="1:8" x14ac:dyDescent="0.25">
      <c r="A16" s="8" t="s">
        <v>27</v>
      </c>
      <c r="B16" s="1">
        <v>106</v>
      </c>
      <c r="C16" s="1">
        <v>-4.28</v>
      </c>
      <c r="D16" s="1">
        <v>6.22</v>
      </c>
      <c r="E16" s="16">
        <v>0.123</v>
      </c>
      <c r="F16" s="15">
        <v>0.84</v>
      </c>
      <c r="G16" s="18"/>
      <c r="H16" s="18"/>
    </row>
    <row r="17" spans="1:9" x14ac:dyDescent="0.25">
      <c r="A17" s="8" t="s">
        <v>28</v>
      </c>
      <c r="B17" s="1">
        <v>35</v>
      </c>
      <c r="C17" s="1">
        <v>-4.33</v>
      </c>
      <c r="D17" s="1">
        <v>5.87</v>
      </c>
      <c r="E17" s="16">
        <v>0.14299999999999999</v>
      </c>
      <c r="F17" s="14">
        <v>0.71399999999999997</v>
      </c>
      <c r="G17" s="18"/>
      <c r="H17" s="18"/>
    </row>
    <row r="18" spans="1:9" x14ac:dyDescent="0.25">
      <c r="A18" s="8" t="s">
        <v>29</v>
      </c>
      <c r="B18" s="1">
        <v>35</v>
      </c>
      <c r="C18" s="1">
        <v>-5.46</v>
      </c>
      <c r="D18" s="1">
        <v>5.97</v>
      </c>
      <c r="E18" s="16">
        <v>0.2</v>
      </c>
      <c r="F18" s="14">
        <v>0.68600000000000005</v>
      </c>
      <c r="G18" s="18"/>
      <c r="H18" s="18"/>
    </row>
    <row r="19" spans="1:9" x14ac:dyDescent="0.25">
      <c r="A19" s="24" t="s">
        <v>5</v>
      </c>
      <c r="B19" s="25"/>
      <c r="C19" s="25"/>
      <c r="D19" s="25"/>
      <c r="E19" s="25"/>
      <c r="F19" s="26"/>
      <c r="G19" s="18"/>
      <c r="H19" s="18"/>
    </row>
    <row r="20" spans="1:9" x14ac:dyDescent="0.25">
      <c r="A20" s="8" t="s">
        <v>27</v>
      </c>
      <c r="B20" s="1">
        <v>105</v>
      </c>
      <c r="C20" s="1">
        <v>-4.5199999999999996</v>
      </c>
      <c r="D20" s="1">
        <v>5.79</v>
      </c>
      <c r="E20" s="16">
        <v>0.13300000000000001</v>
      </c>
      <c r="F20" s="14">
        <v>0.79</v>
      </c>
      <c r="G20" s="18"/>
      <c r="H20" s="18"/>
    </row>
    <row r="21" spans="1:9" x14ac:dyDescent="0.25">
      <c r="A21" s="8" t="s">
        <v>28</v>
      </c>
      <c r="B21" s="1">
        <v>36</v>
      </c>
      <c r="C21" s="1">
        <v>-4.7300000000000004</v>
      </c>
      <c r="D21" s="1">
        <v>7.19</v>
      </c>
      <c r="E21" s="16">
        <v>0.16700000000000001</v>
      </c>
      <c r="F21" s="14">
        <v>0.83299999999999996</v>
      </c>
      <c r="G21" s="18"/>
      <c r="H21" s="18"/>
    </row>
    <row r="22" spans="1:9" x14ac:dyDescent="0.25">
      <c r="A22" s="8" t="s">
        <v>29</v>
      </c>
      <c r="B22" s="1">
        <v>35</v>
      </c>
      <c r="C22" s="1">
        <v>-4.33</v>
      </c>
      <c r="D22" s="1">
        <v>5.87</v>
      </c>
      <c r="E22" s="16">
        <v>0.14299999999999999</v>
      </c>
      <c r="F22" s="14">
        <v>0.71399999999999997</v>
      </c>
      <c r="G22" s="18"/>
      <c r="H22" s="18"/>
    </row>
    <row r="24" spans="1:9" x14ac:dyDescent="0.25">
      <c r="A24" s="7" t="s">
        <v>63</v>
      </c>
      <c r="B24" s="7"/>
      <c r="C24" s="7"/>
      <c r="D24" s="7"/>
      <c r="E24" s="7"/>
      <c r="F24" s="7"/>
      <c r="G24" s="7"/>
      <c r="H24" s="7"/>
      <c r="I24" s="7"/>
    </row>
    <row r="25" spans="1:9" x14ac:dyDescent="0.25">
      <c r="A25" s="28" t="s">
        <v>67</v>
      </c>
      <c r="B25" s="29" t="s">
        <v>18</v>
      </c>
      <c r="C25" s="29" t="s">
        <v>19</v>
      </c>
      <c r="D25" s="29" t="s">
        <v>20</v>
      </c>
      <c r="E25" s="30" t="s">
        <v>21</v>
      </c>
      <c r="F25" s="30" t="s">
        <v>22</v>
      </c>
      <c r="G25" s="30" t="s">
        <v>23</v>
      </c>
      <c r="H25" s="31" t="s">
        <v>24</v>
      </c>
    </row>
    <row r="26" spans="1:9" x14ac:dyDescent="0.25">
      <c r="A26" s="10" t="s">
        <v>68</v>
      </c>
      <c r="B26" s="1" t="s">
        <v>56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9" t="s">
        <v>62</v>
      </c>
    </row>
    <row r="27" spans="1:9" x14ac:dyDescent="0.25">
      <c r="A27" s="10" t="s">
        <v>69</v>
      </c>
      <c r="B27" s="1" t="s">
        <v>45</v>
      </c>
      <c r="C27" s="1" t="s">
        <v>46</v>
      </c>
      <c r="D27" s="1" t="s">
        <v>47</v>
      </c>
      <c r="E27" s="1" t="s">
        <v>48</v>
      </c>
      <c r="F27" s="1" t="s">
        <v>49</v>
      </c>
      <c r="G27" s="23" t="s">
        <v>50</v>
      </c>
      <c r="H27" s="9" t="s">
        <v>51</v>
      </c>
    </row>
    <row r="28" spans="1:9" x14ac:dyDescent="0.25">
      <c r="A28" s="32" t="s">
        <v>70</v>
      </c>
      <c r="B28" s="13" t="s">
        <v>35</v>
      </c>
      <c r="C28" s="13" t="s">
        <v>36</v>
      </c>
      <c r="D28" s="13" t="s">
        <v>37</v>
      </c>
      <c r="E28" s="13" t="s">
        <v>38</v>
      </c>
      <c r="F28" s="13" t="s">
        <v>39</v>
      </c>
      <c r="G28" s="13" t="s">
        <v>40</v>
      </c>
      <c r="H28" s="33" t="s">
        <v>41</v>
      </c>
    </row>
    <row r="29" spans="1:9" x14ac:dyDescent="0.25">
      <c r="A29" s="34"/>
      <c r="B29" s="35"/>
      <c r="C29" s="35"/>
      <c r="D29" s="35"/>
      <c r="E29" s="36"/>
      <c r="F29" s="36"/>
      <c r="G29" s="36"/>
      <c r="H29" s="36"/>
    </row>
    <row r="33" spans="1:19" x14ac:dyDescent="0.25">
      <c r="A33" s="7" t="s">
        <v>64</v>
      </c>
      <c r="B33" s="7"/>
      <c r="C33" s="7"/>
      <c r="D33" s="7"/>
      <c r="E33" s="7"/>
      <c r="F33" s="7"/>
      <c r="G33" s="7"/>
      <c r="I33" s="11"/>
      <c r="J33" s="11"/>
      <c r="K33" s="7" t="s">
        <v>66</v>
      </c>
      <c r="L33" s="7"/>
      <c r="M33" s="7"/>
      <c r="N33" s="7"/>
      <c r="O33" s="7"/>
      <c r="P33" s="7"/>
      <c r="Q33" s="7"/>
      <c r="R33" s="7"/>
    </row>
    <row r="34" spans="1:19" x14ac:dyDescent="0.25">
      <c r="A34" s="20" t="s">
        <v>0</v>
      </c>
      <c r="B34" s="20" t="s">
        <v>25</v>
      </c>
      <c r="C34" s="20" t="s">
        <v>26</v>
      </c>
      <c r="D34" s="20" t="s">
        <v>12</v>
      </c>
      <c r="E34" s="22" t="s">
        <v>14</v>
      </c>
      <c r="F34" s="22" t="s">
        <v>13</v>
      </c>
      <c r="K34" s="20" t="s">
        <v>0</v>
      </c>
      <c r="L34" s="20"/>
      <c r="M34" s="20" t="s">
        <v>25</v>
      </c>
      <c r="N34" s="20" t="s">
        <v>26</v>
      </c>
      <c r="O34" s="20" t="s">
        <v>12</v>
      </c>
      <c r="P34" s="22" t="s">
        <v>14</v>
      </c>
      <c r="Q34" s="22" t="s">
        <v>13</v>
      </c>
    </row>
    <row r="35" spans="1:19" x14ac:dyDescent="0.25">
      <c r="A35" s="1" t="s">
        <v>1</v>
      </c>
      <c r="B35" s="1">
        <v>-5.58</v>
      </c>
      <c r="C35" s="1">
        <v>-1.25</v>
      </c>
      <c r="D35" s="1">
        <v>-5.26</v>
      </c>
      <c r="E35" s="1">
        <v>0.76</v>
      </c>
      <c r="F35" s="1">
        <v>-5.49</v>
      </c>
      <c r="K35" s="3" t="s">
        <v>1</v>
      </c>
      <c r="L35" s="4"/>
      <c r="M35" s="1">
        <v>-4.07</v>
      </c>
      <c r="N35" s="1">
        <v>-3.77</v>
      </c>
      <c r="O35" s="1">
        <v>-3.97</v>
      </c>
      <c r="P35" s="1">
        <v>6.4199999999999993E-2</v>
      </c>
      <c r="Q35" s="1">
        <v>-3.98</v>
      </c>
    </row>
    <row r="36" spans="1:19" x14ac:dyDescent="0.25">
      <c r="A36" s="1" t="s">
        <v>2</v>
      </c>
      <c r="B36" s="1">
        <v>-2.48</v>
      </c>
      <c r="C36" s="1">
        <f>-2.19</f>
        <v>-2.19</v>
      </c>
      <c r="D36" s="1">
        <v>-2.35</v>
      </c>
      <c r="E36" s="1">
        <v>0.06</v>
      </c>
      <c r="F36" s="1">
        <v>-2.36</v>
      </c>
      <c r="K36" s="5" t="s">
        <v>2</v>
      </c>
      <c r="L36" s="6"/>
      <c r="M36" s="1">
        <v>-2.78</v>
      </c>
      <c r="N36" s="1">
        <v>-2.2799999999999998</v>
      </c>
      <c r="O36" s="1">
        <v>-2.57</v>
      </c>
      <c r="P36" s="1">
        <v>0.11990000000000001</v>
      </c>
      <c r="Q36" s="1">
        <v>-2.61</v>
      </c>
    </row>
    <row r="37" spans="1:19" x14ac:dyDescent="0.25">
      <c r="A37" s="1" t="s">
        <v>3</v>
      </c>
      <c r="B37" s="1">
        <v>-5.89</v>
      </c>
      <c r="C37" s="1">
        <v>-3.46</v>
      </c>
      <c r="D37" s="1">
        <v>-5.67</v>
      </c>
      <c r="E37" s="1">
        <v>0.47</v>
      </c>
      <c r="F37" s="1">
        <v>-5.83</v>
      </c>
      <c r="K37" s="3" t="s">
        <v>3</v>
      </c>
      <c r="L37" s="4"/>
      <c r="M37" s="1">
        <v>-5.09</v>
      </c>
      <c r="N37" s="1">
        <v>-3.55</v>
      </c>
      <c r="O37" s="1">
        <v>-4.87</v>
      </c>
      <c r="P37" s="1">
        <v>0.31530000000000002</v>
      </c>
      <c r="Q37" s="1">
        <v>-5.0199999999999996</v>
      </c>
    </row>
    <row r="38" spans="1:19" x14ac:dyDescent="0.25">
      <c r="A38" s="1" t="s">
        <v>4</v>
      </c>
      <c r="B38" s="1">
        <v>-4.99</v>
      </c>
      <c r="C38" s="1">
        <v>-1.18</v>
      </c>
      <c r="D38" s="1">
        <v>-4.32</v>
      </c>
      <c r="E38" s="1">
        <v>0.97</v>
      </c>
      <c r="F38" s="1">
        <v>-4.84</v>
      </c>
      <c r="K38" s="3" t="s">
        <v>4</v>
      </c>
      <c r="L38" s="4"/>
      <c r="M38" s="1">
        <v>-3.83</v>
      </c>
      <c r="N38" s="1">
        <v>-3.5</v>
      </c>
      <c r="O38" s="1">
        <v>-3.68</v>
      </c>
      <c r="P38" s="1">
        <v>8.1500000000000003E-2</v>
      </c>
      <c r="Q38" s="1">
        <v>-3.66</v>
      </c>
    </row>
    <row r="39" spans="1:19" x14ac:dyDescent="0.25">
      <c r="A39" s="1" t="s">
        <v>5</v>
      </c>
      <c r="B39" s="1">
        <v>-5.0599999999999996</v>
      </c>
      <c r="C39" s="1">
        <v>-3.47</v>
      </c>
      <c r="D39" s="1">
        <v>-4.8499999999999996</v>
      </c>
      <c r="E39" s="1">
        <v>0.38</v>
      </c>
      <c r="F39" s="1">
        <v>-5.01</v>
      </c>
      <c r="K39" s="3" t="s">
        <v>5</v>
      </c>
      <c r="L39" s="4"/>
      <c r="M39" s="1">
        <v>-4.78</v>
      </c>
      <c r="N39" s="1">
        <v>-3.41</v>
      </c>
      <c r="O39" s="1">
        <v>-4.49</v>
      </c>
      <c r="P39" s="1">
        <v>0.32450000000000001</v>
      </c>
      <c r="Q39" s="1">
        <v>-4.62</v>
      </c>
    </row>
    <row r="40" spans="1:19" x14ac:dyDescent="0.25">
      <c r="A40" s="8" t="s">
        <v>52</v>
      </c>
      <c r="B40" s="1">
        <v>-5.89</v>
      </c>
      <c r="C40" s="1">
        <v>-1.18</v>
      </c>
      <c r="D40" s="1">
        <v>-4.49</v>
      </c>
      <c r="E40" s="27">
        <v>1.31</v>
      </c>
      <c r="F40" s="1">
        <v>-4.9800000000000004</v>
      </c>
      <c r="K40" s="3" t="s">
        <v>34</v>
      </c>
      <c r="L40" s="4"/>
      <c r="M40" s="1">
        <v>-5.09</v>
      </c>
      <c r="N40" s="1">
        <v>-2.2799999999999998</v>
      </c>
      <c r="O40" s="1">
        <v>-3.91</v>
      </c>
      <c r="P40" s="1">
        <v>0.81</v>
      </c>
      <c r="Q40" s="1">
        <v>-3.97</v>
      </c>
    </row>
    <row r="41" spans="1:19" x14ac:dyDescent="0.25">
      <c r="A41" s="22" t="s">
        <v>7</v>
      </c>
      <c r="B41" s="20" t="s">
        <v>9</v>
      </c>
      <c r="C41" s="20" t="s">
        <v>10</v>
      </c>
      <c r="D41" s="20" t="s">
        <v>11</v>
      </c>
      <c r="K41" s="22" t="s">
        <v>7</v>
      </c>
      <c r="L41" s="20"/>
      <c r="M41" s="20" t="s">
        <v>9</v>
      </c>
      <c r="N41" s="20" t="s">
        <v>10</v>
      </c>
      <c r="O41" s="20" t="s">
        <v>11</v>
      </c>
    </row>
    <row r="42" spans="1:19" x14ac:dyDescent="0.25">
      <c r="A42" s="1" t="s">
        <v>1</v>
      </c>
      <c r="B42" s="1">
        <v>271.87</v>
      </c>
      <c r="C42" s="1">
        <v>358.23</v>
      </c>
      <c r="D42" s="1">
        <v>0.79820000000000002</v>
      </c>
      <c r="K42" s="2" t="s">
        <v>1</v>
      </c>
      <c r="L42" s="2"/>
      <c r="M42" s="1">
        <v>256.62</v>
      </c>
      <c r="N42" s="1">
        <v>360.48</v>
      </c>
      <c r="O42" s="1">
        <v>0.79569999999999996</v>
      </c>
    </row>
    <row r="43" spans="1:19" x14ac:dyDescent="0.25">
      <c r="A43" s="1" t="s">
        <v>2</v>
      </c>
      <c r="B43" s="1">
        <v>205.03</v>
      </c>
      <c r="C43" s="1">
        <v>281.20999999999998</v>
      </c>
      <c r="D43" s="1">
        <v>0.90669999999999995</v>
      </c>
      <c r="K43" s="3" t="s">
        <v>2</v>
      </c>
      <c r="L43" s="4"/>
      <c r="M43" s="1">
        <v>202.6</v>
      </c>
      <c r="N43" s="1">
        <v>277.2</v>
      </c>
      <c r="O43" s="1">
        <v>0.90939999999999999</v>
      </c>
    </row>
    <row r="44" spans="1:19" x14ac:dyDescent="0.25">
      <c r="A44" s="1" t="s">
        <v>3</v>
      </c>
      <c r="B44" s="1">
        <v>307.61</v>
      </c>
      <c r="C44" s="1">
        <v>408.72</v>
      </c>
      <c r="D44" s="1">
        <v>0.72899999999999998</v>
      </c>
      <c r="K44" s="3" t="s">
        <v>3</v>
      </c>
      <c r="L44" s="4"/>
      <c r="M44" s="1">
        <v>285.27</v>
      </c>
      <c r="N44" s="1">
        <v>392.28</v>
      </c>
      <c r="O44" s="1">
        <v>0.75029999999999997</v>
      </c>
    </row>
    <row r="45" spans="1:19" x14ac:dyDescent="0.25">
      <c r="A45" s="1" t="s">
        <v>4</v>
      </c>
      <c r="B45" s="1">
        <v>266.88</v>
      </c>
      <c r="C45" s="1">
        <v>340.02</v>
      </c>
      <c r="D45" s="1">
        <v>0.81769999999999998</v>
      </c>
      <c r="K45" s="3" t="s">
        <v>4</v>
      </c>
      <c r="L45" s="4"/>
      <c r="M45" s="1">
        <v>266.55</v>
      </c>
      <c r="N45" s="1">
        <v>343.9</v>
      </c>
      <c r="O45" s="1">
        <v>0.8135</v>
      </c>
    </row>
    <row r="46" spans="1:19" x14ac:dyDescent="0.25">
      <c r="A46" s="1" t="s">
        <v>5</v>
      </c>
      <c r="B46" s="1">
        <v>232.24</v>
      </c>
      <c r="C46" s="1">
        <v>306.29000000000002</v>
      </c>
      <c r="D46" s="1">
        <v>0.87590000000000001</v>
      </c>
      <c r="K46" s="3" t="s">
        <v>5</v>
      </c>
      <c r="L46" s="4"/>
      <c r="M46" s="1">
        <v>227.17</v>
      </c>
      <c r="N46" s="1">
        <v>301.81</v>
      </c>
      <c r="O46" s="1">
        <v>0.87960000000000005</v>
      </c>
    </row>
    <row r="47" spans="1:19" x14ac:dyDescent="0.25">
      <c r="A47" s="12" t="s">
        <v>17</v>
      </c>
      <c r="B47" s="13" t="s">
        <v>53</v>
      </c>
      <c r="C47" s="13" t="s">
        <v>54</v>
      </c>
      <c r="D47" s="13" t="s">
        <v>55</v>
      </c>
      <c r="K47" s="5" t="s">
        <v>17</v>
      </c>
      <c r="L47" s="6"/>
      <c r="M47" s="1" t="s">
        <v>31</v>
      </c>
      <c r="N47" s="1" t="s">
        <v>32</v>
      </c>
      <c r="O47" s="1" t="s">
        <v>33</v>
      </c>
    </row>
    <row r="48" spans="1:19" x14ac:dyDescent="0.25">
      <c r="A48" s="22" t="s">
        <v>8</v>
      </c>
      <c r="B48" s="20" t="s">
        <v>18</v>
      </c>
      <c r="C48" s="20" t="s">
        <v>19</v>
      </c>
      <c r="D48" s="20" t="s">
        <v>20</v>
      </c>
      <c r="E48" s="22" t="s">
        <v>21</v>
      </c>
      <c r="F48" s="22" t="s">
        <v>22</v>
      </c>
      <c r="G48" s="22" t="s">
        <v>23</v>
      </c>
      <c r="H48" s="22" t="s">
        <v>24</v>
      </c>
      <c r="K48" s="22" t="s">
        <v>8</v>
      </c>
      <c r="L48" s="20"/>
      <c r="M48" s="20" t="s">
        <v>18</v>
      </c>
      <c r="N48" s="20" t="s">
        <v>19</v>
      </c>
      <c r="O48" s="20" t="s">
        <v>20</v>
      </c>
      <c r="P48" s="22" t="s">
        <v>21</v>
      </c>
      <c r="Q48" s="22" t="s">
        <v>22</v>
      </c>
      <c r="R48" s="22" t="s">
        <v>23</v>
      </c>
      <c r="S48" s="22" t="s">
        <v>24</v>
      </c>
    </row>
    <row r="49" spans="1:19" x14ac:dyDescent="0.25">
      <c r="A49" s="1" t="s">
        <v>1</v>
      </c>
      <c r="B49" s="1">
        <v>0.52900000000000003</v>
      </c>
      <c r="C49" s="1">
        <v>0.52</v>
      </c>
      <c r="D49" s="1">
        <v>0.76500000000000001</v>
      </c>
      <c r="E49" s="1">
        <v>0.61899999999999999</v>
      </c>
      <c r="F49" s="1">
        <v>0.29399999999999998</v>
      </c>
      <c r="G49" s="1">
        <v>0.56399999999999995</v>
      </c>
      <c r="H49" s="1">
        <v>0.53</v>
      </c>
      <c r="K49" s="9" t="s">
        <v>1</v>
      </c>
      <c r="L49" s="10"/>
      <c r="M49" s="1">
        <v>0.41199999999999998</v>
      </c>
      <c r="N49" s="1">
        <v>0.33300000000000002</v>
      </c>
      <c r="O49" s="1">
        <v>0.17599999999999999</v>
      </c>
      <c r="P49" s="1">
        <v>0.23100000000000001</v>
      </c>
      <c r="Q49" s="1">
        <v>0.64700000000000002</v>
      </c>
      <c r="R49" s="1">
        <v>0.53300000000000003</v>
      </c>
      <c r="S49" s="1">
        <v>0.49199999999999999</v>
      </c>
    </row>
    <row r="50" spans="1:19" x14ac:dyDescent="0.25">
      <c r="A50" s="1" t="s">
        <v>2</v>
      </c>
      <c r="B50" s="1">
        <v>0.35299999999999998</v>
      </c>
      <c r="C50" s="1">
        <v>1</v>
      </c>
      <c r="D50" s="1">
        <v>4.2999999999999997E-2</v>
      </c>
      <c r="E50" s="1">
        <v>8.3000000000000004E-2</v>
      </c>
      <c r="F50" s="1">
        <v>1</v>
      </c>
      <c r="G50" s="1">
        <v>0.38300000000000001</v>
      </c>
      <c r="H50" s="1">
        <v>0.66800000000000004</v>
      </c>
      <c r="K50" s="9" t="s">
        <v>2</v>
      </c>
      <c r="L50" s="10"/>
      <c r="M50" s="1">
        <v>0.35299999999999998</v>
      </c>
      <c r="N50" s="1">
        <v>1</v>
      </c>
      <c r="O50" s="1">
        <v>4.2999999999999997E-2</v>
      </c>
      <c r="P50" s="1">
        <v>8.3000000000000004E-2</v>
      </c>
      <c r="Q50" s="1">
        <v>1</v>
      </c>
      <c r="R50" s="1">
        <v>0.372</v>
      </c>
      <c r="S50" s="1">
        <v>0.65100000000000002</v>
      </c>
    </row>
    <row r="51" spans="1:19" x14ac:dyDescent="0.25">
      <c r="A51" s="1" t="s">
        <v>3</v>
      </c>
      <c r="B51" s="1">
        <v>0.60599999999999998</v>
      </c>
      <c r="C51" s="1">
        <v>0.71399999999999997</v>
      </c>
      <c r="D51" s="1">
        <v>0.68200000000000005</v>
      </c>
      <c r="E51" s="1">
        <v>0.69799999999999995</v>
      </c>
      <c r="F51" s="1">
        <v>0.45500000000000002</v>
      </c>
      <c r="G51" s="1">
        <v>0.55400000000000005</v>
      </c>
      <c r="H51" s="1">
        <v>0.70299999999999996</v>
      </c>
      <c r="K51" s="9" t="s">
        <v>3</v>
      </c>
      <c r="L51" s="10"/>
      <c r="M51" s="1">
        <v>0.54500000000000004</v>
      </c>
      <c r="N51" s="1">
        <v>0.76900000000000002</v>
      </c>
      <c r="O51" s="1">
        <v>0.45500000000000002</v>
      </c>
      <c r="P51" s="1">
        <v>0.57099999999999995</v>
      </c>
      <c r="Q51" s="1">
        <v>0.72699999999999998</v>
      </c>
      <c r="R51" s="1">
        <v>0.58699999999999997</v>
      </c>
      <c r="S51" s="1">
        <v>0.73799999999999999</v>
      </c>
    </row>
    <row r="52" spans="1:19" x14ac:dyDescent="0.25">
      <c r="A52" s="1" t="s">
        <v>4</v>
      </c>
      <c r="B52" s="1">
        <v>0.63300000000000001</v>
      </c>
      <c r="C52" s="1">
        <v>1</v>
      </c>
      <c r="D52" s="1">
        <v>0.35299999999999998</v>
      </c>
      <c r="E52" s="1">
        <v>0.52200000000000002</v>
      </c>
      <c r="F52" s="1">
        <v>1</v>
      </c>
      <c r="G52" s="1">
        <v>0.69699999999999995</v>
      </c>
      <c r="H52" s="1">
        <v>0.81499999999999995</v>
      </c>
      <c r="K52" s="9" t="s">
        <v>4</v>
      </c>
      <c r="L52" s="10"/>
      <c r="M52" s="1">
        <v>0.5</v>
      </c>
      <c r="N52" s="1">
        <v>1</v>
      </c>
      <c r="O52" s="1">
        <v>0.11799999999999999</v>
      </c>
      <c r="P52" s="1">
        <v>0.21099999999999999</v>
      </c>
      <c r="Q52" s="1">
        <v>1</v>
      </c>
      <c r="R52" s="1">
        <v>0.72899999999999998</v>
      </c>
      <c r="S52" s="1">
        <v>0.80400000000000005</v>
      </c>
    </row>
    <row r="53" spans="1:19" x14ac:dyDescent="0.25">
      <c r="A53" s="1" t="s">
        <v>5</v>
      </c>
      <c r="B53" s="1">
        <v>0.55900000000000005</v>
      </c>
      <c r="C53" s="1">
        <v>0.57099999999999995</v>
      </c>
      <c r="D53" s="1">
        <v>0.47099999999999997</v>
      </c>
      <c r="E53" s="1">
        <v>0.51600000000000001</v>
      </c>
      <c r="F53" s="1">
        <v>0.64700000000000002</v>
      </c>
      <c r="G53" s="1">
        <v>0.50900000000000001</v>
      </c>
      <c r="H53" s="1">
        <v>0.53500000000000003</v>
      </c>
      <c r="K53" s="9" t="s">
        <v>5</v>
      </c>
      <c r="L53" s="10"/>
      <c r="M53" s="1">
        <v>0.55900000000000005</v>
      </c>
      <c r="N53" s="1">
        <v>0.58299999999999996</v>
      </c>
      <c r="O53" s="1">
        <v>0.41199999999999998</v>
      </c>
      <c r="P53" s="1">
        <v>0.48299999999999998</v>
      </c>
      <c r="Q53" s="1">
        <v>0.70599999999999996</v>
      </c>
      <c r="R53" s="1">
        <v>0.50700000000000001</v>
      </c>
      <c r="S53" s="1">
        <v>0.54100000000000004</v>
      </c>
    </row>
    <row r="54" spans="1:19" x14ac:dyDescent="0.25">
      <c r="A54" s="1" t="s">
        <v>17</v>
      </c>
      <c r="B54" s="1" t="s">
        <v>56</v>
      </c>
      <c r="C54" s="1" t="s">
        <v>57</v>
      </c>
      <c r="D54" s="1" t="s">
        <v>58</v>
      </c>
      <c r="E54" s="1" t="s">
        <v>59</v>
      </c>
      <c r="F54" s="1" t="s">
        <v>60</v>
      </c>
      <c r="G54" s="1" t="s">
        <v>61</v>
      </c>
      <c r="H54" s="1" t="s">
        <v>62</v>
      </c>
      <c r="K54" s="9" t="s">
        <v>17</v>
      </c>
      <c r="L54" s="10"/>
      <c r="M54" s="1" t="s">
        <v>35</v>
      </c>
      <c r="N54" s="1" t="s">
        <v>36</v>
      </c>
      <c r="O54" s="1" t="s">
        <v>37</v>
      </c>
      <c r="P54" s="1" t="s">
        <v>38</v>
      </c>
      <c r="Q54" s="1" t="s">
        <v>39</v>
      </c>
      <c r="R54" s="1" t="s">
        <v>40</v>
      </c>
      <c r="S54" s="1" t="s">
        <v>41</v>
      </c>
    </row>
    <row r="57" spans="1:19" x14ac:dyDescent="0.25">
      <c r="A57" s="7" t="s">
        <v>65</v>
      </c>
      <c r="B57" s="7"/>
      <c r="C57" s="7"/>
      <c r="D57" s="7"/>
      <c r="E57" s="7"/>
      <c r="F57" s="7"/>
      <c r="G57" s="7"/>
    </row>
    <row r="58" spans="1:19" x14ac:dyDescent="0.25">
      <c r="A58" s="20" t="s">
        <v>0</v>
      </c>
      <c r="B58" s="20" t="s">
        <v>25</v>
      </c>
      <c r="C58" s="20" t="s">
        <v>26</v>
      </c>
      <c r="D58" s="20" t="s">
        <v>12</v>
      </c>
      <c r="E58" s="22" t="s">
        <v>14</v>
      </c>
      <c r="F58" s="22" t="s">
        <v>13</v>
      </c>
    </row>
    <row r="59" spans="1:19" x14ac:dyDescent="0.25">
      <c r="A59" s="1" t="s">
        <v>1</v>
      </c>
      <c r="B59" s="1">
        <v>-7.74</v>
      </c>
      <c r="C59" s="1">
        <v>-3.33</v>
      </c>
      <c r="D59" s="1">
        <v>-5.36</v>
      </c>
      <c r="E59" s="1">
        <v>1.08</v>
      </c>
      <c r="F59" s="1">
        <v>-5.33</v>
      </c>
    </row>
    <row r="60" spans="1:19" x14ac:dyDescent="0.25">
      <c r="A60" s="1" t="s">
        <v>2</v>
      </c>
      <c r="B60" s="1">
        <v>-4.8</v>
      </c>
      <c r="C60" s="1">
        <v>-2.17</v>
      </c>
      <c r="D60" s="1">
        <v>-4.4800000000000004</v>
      </c>
      <c r="E60" s="1">
        <v>0.54</v>
      </c>
      <c r="F60" s="1">
        <v>-3.48</v>
      </c>
    </row>
    <row r="61" spans="1:19" x14ac:dyDescent="0.25">
      <c r="A61" s="1" t="s">
        <v>3</v>
      </c>
      <c r="B61" s="1">
        <v>-7.06</v>
      </c>
      <c r="C61" s="1">
        <v>-3.35</v>
      </c>
      <c r="D61" s="1">
        <v>-4.8</v>
      </c>
      <c r="E61" s="1">
        <v>0.92</v>
      </c>
      <c r="F61" s="1">
        <v>-4.74</v>
      </c>
    </row>
    <row r="62" spans="1:19" x14ac:dyDescent="0.25">
      <c r="A62" s="1" t="s">
        <v>4</v>
      </c>
      <c r="B62" s="1">
        <v>-7.96</v>
      </c>
      <c r="C62" s="1">
        <v>-2.08</v>
      </c>
      <c r="D62" s="1">
        <v>-4.32</v>
      </c>
      <c r="E62" s="1">
        <v>1.38</v>
      </c>
      <c r="F62" s="1">
        <v>-4.1900000000000004</v>
      </c>
    </row>
    <row r="63" spans="1:19" x14ac:dyDescent="0.25">
      <c r="A63" s="1" t="s">
        <v>5</v>
      </c>
      <c r="B63" s="1">
        <v>-6.32</v>
      </c>
      <c r="C63" s="1">
        <v>-3.54</v>
      </c>
      <c r="D63" s="1">
        <v>-5.0199999999999996</v>
      </c>
      <c r="E63" s="1">
        <v>0.69</v>
      </c>
      <c r="F63" s="1">
        <v>-5.0999999999999996</v>
      </c>
    </row>
    <row r="64" spans="1:19" x14ac:dyDescent="0.25">
      <c r="A64" s="8" t="s">
        <v>34</v>
      </c>
      <c r="B64" s="1">
        <v>-7.96</v>
      </c>
      <c r="C64" s="1">
        <v>-2.08</v>
      </c>
      <c r="D64" s="1">
        <v>-4.5999999999999996</v>
      </c>
      <c r="E64" s="1">
        <v>1.17</v>
      </c>
      <c r="F64" s="1">
        <v>-4.57</v>
      </c>
    </row>
    <row r="65" spans="1:8" x14ac:dyDescent="0.25">
      <c r="A65" s="22" t="s">
        <v>7</v>
      </c>
      <c r="B65" s="20" t="s">
        <v>9</v>
      </c>
      <c r="C65" s="20" t="s">
        <v>10</v>
      </c>
      <c r="D65" s="20" t="s">
        <v>11</v>
      </c>
    </row>
    <row r="66" spans="1:8" x14ac:dyDescent="0.25">
      <c r="A66" s="1" t="s">
        <v>1</v>
      </c>
      <c r="B66" s="1">
        <v>278.81</v>
      </c>
      <c r="C66" s="1">
        <v>367.05</v>
      </c>
      <c r="D66" s="1">
        <v>0.78820000000000001</v>
      </c>
    </row>
    <row r="67" spans="1:8" x14ac:dyDescent="0.25">
      <c r="A67" s="1" t="s">
        <v>2</v>
      </c>
      <c r="B67" s="1">
        <v>195.24</v>
      </c>
      <c r="C67" s="1">
        <v>269.94</v>
      </c>
      <c r="D67" s="1">
        <v>0.91410000000000002</v>
      </c>
    </row>
    <row r="68" spans="1:8" x14ac:dyDescent="0.25">
      <c r="A68" s="1" t="s">
        <v>3</v>
      </c>
      <c r="B68" s="1">
        <v>279.66000000000003</v>
      </c>
      <c r="C68" s="1">
        <v>394.92</v>
      </c>
      <c r="D68" s="1">
        <v>0.747</v>
      </c>
    </row>
    <row r="69" spans="1:8" x14ac:dyDescent="0.25">
      <c r="A69" s="1" t="s">
        <v>4</v>
      </c>
      <c r="B69" s="1">
        <v>253.94</v>
      </c>
      <c r="C69" s="1">
        <v>322.87</v>
      </c>
      <c r="D69" s="1">
        <v>0.83560000000000001</v>
      </c>
    </row>
    <row r="70" spans="1:8" x14ac:dyDescent="0.25">
      <c r="A70" s="1" t="s">
        <v>5</v>
      </c>
      <c r="B70" s="1">
        <v>233.74</v>
      </c>
      <c r="C70" s="1">
        <v>303.45</v>
      </c>
      <c r="D70" s="1">
        <v>0.87819999999999998</v>
      </c>
    </row>
    <row r="71" spans="1:8" x14ac:dyDescent="0.25">
      <c r="A71" s="8" t="s">
        <v>17</v>
      </c>
      <c r="B71" s="1" t="s">
        <v>42</v>
      </c>
      <c r="C71" s="1" t="s">
        <v>43</v>
      </c>
      <c r="D71" s="1" t="s">
        <v>44</v>
      </c>
    </row>
    <row r="72" spans="1:8" x14ac:dyDescent="0.25">
      <c r="A72" s="22" t="s">
        <v>8</v>
      </c>
      <c r="B72" s="20" t="s">
        <v>18</v>
      </c>
      <c r="C72" s="20" t="s">
        <v>19</v>
      </c>
      <c r="D72" s="20" t="s">
        <v>20</v>
      </c>
      <c r="E72" s="22" t="s">
        <v>21</v>
      </c>
      <c r="F72" s="22" t="s">
        <v>22</v>
      </c>
      <c r="G72" s="22" t="s">
        <v>23</v>
      </c>
      <c r="H72" s="22" t="s">
        <v>24</v>
      </c>
    </row>
    <row r="73" spans="1:8" x14ac:dyDescent="0.25">
      <c r="A73" s="1" t="s">
        <v>1</v>
      </c>
      <c r="B73" s="1">
        <v>0.5</v>
      </c>
      <c r="C73" s="1">
        <v>0.5</v>
      </c>
      <c r="D73" s="1">
        <v>0.58799999999999997</v>
      </c>
      <c r="E73" s="1">
        <v>0.54100000000000004</v>
      </c>
      <c r="F73" s="1">
        <v>0.41199999999999998</v>
      </c>
      <c r="G73" s="1">
        <v>0.56399999999999995</v>
      </c>
      <c r="H73" s="1">
        <v>0.52500000000000002</v>
      </c>
    </row>
    <row r="74" spans="1:8" x14ac:dyDescent="0.25">
      <c r="A74" s="1" t="s">
        <v>2</v>
      </c>
      <c r="B74" s="1">
        <v>0.38200000000000001</v>
      </c>
      <c r="C74" s="1">
        <v>0.75</v>
      </c>
      <c r="D74" s="1">
        <v>0.13</v>
      </c>
      <c r="E74" s="1">
        <v>0.222</v>
      </c>
      <c r="F74" s="1">
        <v>0.90900000000000003</v>
      </c>
      <c r="G74" s="1">
        <v>0.496</v>
      </c>
      <c r="H74" s="1">
        <v>0.70599999999999996</v>
      </c>
    </row>
    <row r="75" spans="1:8" x14ac:dyDescent="0.25">
      <c r="A75" s="1" t="s">
        <v>3</v>
      </c>
      <c r="B75" s="1">
        <v>0.51500000000000001</v>
      </c>
      <c r="C75" s="1">
        <v>0.71399999999999997</v>
      </c>
      <c r="D75" s="1">
        <v>0.45500000000000002</v>
      </c>
      <c r="E75" s="1">
        <v>0.55600000000000005</v>
      </c>
      <c r="F75" s="1">
        <v>0.63600000000000001</v>
      </c>
      <c r="G75" s="1">
        <v>0.60299999999999998</v>
      </c>
      <c r="H75" s="1">
        <v>0.72599999999999998</v>
      </c>
    </row>
    <row r="76" spans="1:8" x14ac:dyDescent="0.25">
      <c r="A76" s="1" t="s">
        <v>4</v>
      </c>
      <c r="B76" s="1">
        <v>0.6</v>
      </c>
      <c r="C76" s="1">
        <v>0.85699999999999998</v>
      </c>
      <c r="D76" s="1">
        <v>0.35299999999999998</v>
      </c>
      <c r="E76" s="1">
        <v>0.5</v>
      </c>
      <c r="F76" s="1">
        <v>0.92300000000000004</v>
      </c>
      <c r="G76" s="1">
        <v>0.73299999999999998</v>
      </c>
      <c r="H76" s="1">
        <v>0.79100000000000004</v>
      </c>
    </row>
    <row r="77" spans="1:8" x14ac:dyDescent="0.25">
      <c r="A77" s="1" t="s">
        <v>5</v>
      </c>
      <c r="B77" s="1">
        <v>0.52900000000000003</v>
      </c>
      <c r="C77" s="1">
        <v>0.53300000000000003</v>
      </c>
      <c r="D77" s="1">
        <v>0.47099999999999997</v>
      </c>
      <c r="E77" s="1">
        <v>0.5</v>
      </c>
      <c r="F77" s="1">
        <v>0.58799999999999997</v>
      </c>
      <c r="G77" s="1">
        <v>0.502</v>
      </c>
      <c r="H77" s="1">
        <v>0.51800000000000002</v>
      </c>
    </row>
    <row r="78" spans="1:8" x14ac:dyDescent="0.25">
      <c r="A78" s="1" t="s">
        <v>17</v>
      </c>
      <c r="B78" s="1" t="s">
        <v>45</v>
      </c>
      <c r="C78" s="1" t="s">
        <v>46</v>
      </c>
      <c r="D78" s="1" t="s">
        <v>47</v>
      </c>
      <c r="E78" s="1" t="s">
        <v>48</v>
      </c>
      <c r="F78" s="1" t="s">
        <v>49</v>
      </c>
      <c r="G78" s="1" t="s">
        <v>50</v>
      </c>
      <c r="H78" s="1" t="s">
        <v>51</v>
      </c>
    </row>
  </sheetData>
  <mergeCells count="19">
    <mergeCell ref="K43:L43"/>
    <mergeCell ref="K44:L44"/>
    <mergeCell ref="K45:L45"/>
    <mergeCell ref="K46:L46"/>
    <mergeCell ref="A57:G57"/>
    <mergeCell ref="K33:R33"/>
    <mergeCell ref="A3:F3"/>
    <mergeCell ref="A7:F7"/>
    <mergeCell ref="A11:F11"/>
    <mergeCell ref="A15:F15"/>
    <mergeCell ref="A19:F19"/>
    <mergeCell ref="A24:I24"/>
    <mergeCell ref="K39:L39"/>
    <mergeCell ref="K42:L42"/>
    <mergeCell ref="K40:L40"/>
    <mergeCell ref="A33:G33"/>
    <mergeCell ref="K35:L35"/>
    <mergeCell ref="K37:L37"/>
    <mergeCell ref="K38:L38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Tables_comparison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Passiatore  Francesco</dc:creator>
  <cp:lastModifiedBy>Passiatore  Francesco</cp:lastModifiedBy>
  <dcterms:created xsi:type="dcterms:W3CDTF">2026-01-21T15:06:18Z</dcterms:created>
  <dcterms:modified xsi:type="dcterms:W3CDTF">2026-01-21T18:05:13Z</dcterms:modified>
</cp:coreProperties>
</file>