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escoP\ImagingBased-ProgressionPrediction\"/>
    </mc:Choice>
  </mc:AlternateContent>
  <xr:revisionPtr revIDLastSave="0" documentId="13_ncr:1_{66EEE758-675E-4FBD-AD58-4020C5FD0855}" xr6:coauthVersionLast="47" xr6:coauthVersionMax="47" xr10:uidLastSave="{00000000-0000-0000-0000-000000000000}"/>
  <bookViews>
    <workbookView xWindow="-108" yWindow="-108" windowWidth="23256" windowHeight="12576" xr2:uid="{2EE0F8F3-7531-4A73-A202-515B415B47BD}"/>
  </bookViews>
  <sheets>
    <sheet name="Tables_comparison" sheetId="1" r:id="rId1"/>
    <sheet name="CNN_Corrected" sheetId="2" r:id="rId2"/>
    <sheet name="FVC@52 Predic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89" i="1"/>
  <c r="E89" i="1"/>
  <c r="P40" i="1"/>
  <c r="E64" i="1"/>
  <c r="E40" i="1"/>
  <c r="O64" i="1"/>
  <c r="N64" i="1"/>
  <c r="C36" i="1"/>
</calcChain>
</file>

<file path=xl/sharedStrings.xml><?xml version="1.0" encoding="utf-8"?>
<sst xmlns="http://schemas.openxmlformats.org/spreadsheetml/2006/main" count="523" uniqueCount="160">
  <si>
    <t>Slope distribution</t>
  </si>
  <si>
    <t>Fold 0</t>
  </si>
  <si>
    <t>Fold 1</t>
  </si>
  <si>
    <t>Fold 2</t>
  </si>
  <si>
    <t>Fold 3</t>
  </si>
  <si>
    <t>Fold 4</t>
  </si>
  <si>
    <t>Global</t>
  </si>
  <si>
    <t>FVC(52) prediction</t>
  </si>
  <si>
    <t>Progress prediction</t>
  </si>
  <si>
    <t>MAE</t>
  </si>
  <si>
    <t>RMSE</t>
  </si>
  <si>
    <t>R^2</t>
  </si>
  <si>
    <t>Mean</t>
  </si>
  <si>
    <t>Median</t>
  </si>
  <si>
    <t>Std</t>
  </si>
  <si>
    <t>Extreme_pct</t>
  </si>
  <si>
    <t>1std</t>
  </si>
  <si>
    <t>Average</t>
  </si>
  <si>
    <t>Accuracy</t>
  </si>
  <si>
    <t>Precision</t>
  </si>
  <si>
    <t>Recall</t>
  </si>
  <si>
    <t>F1-Score</t>
  </si>
  <si>
    <t>Specificity</t>
  </si>
  <si>
    <t>AUC</t>
  </si>
  <si>
    <t>AP</t>
  </si>
  <si>
    <t>Min</t>
  </si>
  <si>
    <t>Max</t>
  </si>
  <si>
    <t>Train</t>
  </si>
  <si>
    <t>Validation</t>
  </si>
  <si>
    <t>Test</t>
  </si>
  <si>
    <t>N</t>
  </si>
  <si>
    <t>247.64 ± 29.33</t>
  </si>
  <si>
    <t>335.13 ± 41.12</t>
  </si>
  <si>
    <t>0.8297 ± 0.0575</t>
  </si>
  <si>
    <t>All folds</t>
  </si>
  <si>
    <t>0.474 ± 0.079</t>
  </si>
  <si>
    <t>0.737 ± 0.255</t>
  </si>
  <si>
    <t>0.241 ± 0.163</t>
  </si>
  <si>
    <t>0.316 ± 0.182</t>
  </si>
  <si>
    <t>0.816 ± 0.152</t>
  </si>
  <si>
    <t>0.545 ± 0.116</t>
  </si>
  <si>
    <t>0.645 ± 0.117</t>
  </si>
  <si>
    <t>248.28 ± 31.54</t>
  </si>
  <si>
    <t>331.65 ± 44.58</t>
  </si>
  <si>
    <t>0.8326 ± 0.0601</t>
  </si>
  <si>
    <t>0.505 ± 0.070</t>
  </si>
  <si>
    <t>0.671 ± 0.135</t>
  </si>
  <si>
    <t>0.399 ± 0.154</t>
  </si>
  <si>
    <t>0.464 ± 0.123</t>
  </si>
  <si>
    <t>0.694 ± 0.196</t>
  </si>
  <si>
    <t>0.580 ± 0.086</t>
  </si>
  <si>
    <t>0.653 ± 0.111</t>
  </si>
  <si>
    <t>All Folds</t>
  </si>
  <si>
    <t>256.72 ± 35.19</t>
  </si>
  <si>
    <t>338.89 ± 43.91</t>
  </si>
  <si>
    <t>0.8255 ± 0.0621</t>
  </si>
  <si>
    <t>0.536 ± 0.098</t>
  </si>
  <si>
    <t>0.761 ± 0.205</t>
  </si>
  <si>
    <t>0.463 ± 0.256</t>
  </si>
  <si>
    <t>0.488 ± 0.213</t>
  </si>
  <si>
    <t>0.679 ± 0.285</t>
  </si>
  <si>
    <t>0.541 ± 0.101</t>
  </si>
  <si>
    <t>0.650 ± 0.108</t>
  </si>
  <si>
    <t>Progress Prediction - Summary</t>
  </si>
  <si>
    <t xml:space="preserve">Training 1 - MSE , slopes no normalization, no attention, weight sampling </t>
  </si>
  <si>
    <t xml:space="preserve">Training 2 - MSE , slopes normalization, no attention, weight sampling </t>
  </si>
  <si>
    <t xml:space="preserve">Training 3 - Huber(3.0) , slopes no normalization, attention, weight sampling </t>
  </si>
  <si>
    <t>Training</t>
  </si>
  <si>
    <t>Training 1 (MSE-no norm)</t>
  </si>
  <si>
    <t>Training 2 (MSE)</t>
  </si>
  <si>
    <t xml:space="preserve">Training 4 - Huber , slopes  normalization, no attention, weight sampling </t>
  </si>
  <si>
    <t>249.06 ± 37.61</t>
  </si>
  <si>
    <t>334.77 ± 47.03</t>
  </si>
  <si>
    <t xml:space="preserve"> 0.8290 ± 0.0642</t>
  </si>
  <si>
    <t>0.517 ± 0.098</t>
  </si>
  <si>
    <t>0.691 ± 0.183</t>
  </si>
  <si>
    <t>0.342 ± 0.200</t>
  </si>
  <si>
    <t>0.418 ± 0.183</t>
  </si>
  <si>
    <t>0.761 ± 0.168</t>
  </si>
  <si>
    <t>0.560 ± 0.114</t>
  </si>
  <si>
    <t>0.658 ± 0.129</t>
  </si>
  <si>
    <t>Training 3 (Huber-no norm)</t>
  </si>
  <si>
    <t>Training 4 (Huber)</t>
  </si>
  <si>
    <t xml:space="preserve">Training 5 - MSE , slopes no normalization, attention, weight sampling </t>
  </si>
  <si>
    <t>249.26 ± 32.75</t>
  </si>
  <si>
    <t>333.93 ± 45.43</t>
  </si>
  <si>
    <t>0.8301 ± 0.0616</t>
  </si>
  <si>
    <t>0.517 ± 0.084</t>
  </si>
  <si>
    <t>0.770 ± 0.196</t>
  </si>
  <si>
    <t>0.365 ± 0.195</t>
  </si>
  <si>
    <t>0.428 ± 0.188</t>
  </si>
  <si>
    <t>0.756 ± 0.208</t>
  </si>
  <si>
    <t>0.546 ± 0.135</t>
  </si>
  <si>
    <t>0.658 ± 0.113</t>
  </si>
  <si>
    <t>Training 5 (MSE-no norm,att)</t>
  </si>
  <si>
    <t>MAE FVC(52)</t>
  </si>
  <si>
    <t>CNN+Demographics</t>
  </si>
  <si>
    <t>CNN+Handcrafted</t>
  </si>
  <si>
    <t>CNN+Demographics+Handcrafted</t>
  </si>
  <si>
    <t>0.512 ± 0.078</t>
  </si>
  <si>
    <t>0.673 ± 0.145</t>
  </si>
  <si>
    <t>0.406 ± 0.153</t>
  </si>
  <si>
    <t>0.471 ± 0.134</t>
  </si>
  <si>
    <t>0.581 ± 0.086</t>
  </si>
  <si>
    <t xml:space="preserve"> 0.655 ± 0.117</t>
  </si>
  <si>
    <t>0.526 ± 0.084</t>
  </si>
  <si>
    <t>0.709 ± 0.180</t>
  </si>
  <si>
    <t>0.407 ± 0.151</t>
  </si>
  <si>
    <t>0.480 ± 0.133</t>
  </si>
  <si>
    <t>0.721 ± 0.210</t>
  </si>
  <si>
    <t>0.593 ± 0.085</t>
  </si>
  <si>
    <t>0.667 ± 0.115</t>
  </si>
  <si>
    <t>0.533 ± 0.093</t>
  </si>
  <si>
    <t>0.716 ± 0.182</t>
  </si>
  <si>
    <t>0.410 ± 0.142</t>
  </si>
  <si>
    <t>0.488 ± 0.135</t>
  </si>
  <si>
    <t>0.739 ± 0.206</t>
  </si>
  <si>
    <t>0.585 ± 0.067</t>
  </si>
  <si>
    <t>0.664 ± 0.107</t>
  </si>
  <si>
    <t>Comparison</t>
  </si>
  <si>
    <t>CNN only</t>
  </si>
  <si>
    <t>Prediction with deltaFVC</t>
  </si>
  <si>
    <t>Fold</t>
  </si>
  <si>
    <t>F1</t>
  </si>
  <si>
    <t>0.473 ± 0.024</t>
  </si>
  <si>
    <t>0.569 ± 0.146</t>
  </si>
  <si>
    <t xml:space="preserve"> 0.384 ± 0.125</t>
  </si>
  <si>
    <t xml:space="preserve"> 0.445 ± 0.113</t>
  </si>
  <si>
    <t>0.600 ± 0.140</t>
  </si>
  <si>
    <t>0.505 ± 0.094</t>
  </si>
  <si>
    <t>0.591 ± 0.115</t>
  </si>
  <si>
    <t>Direct Prediction</t>
  </si>
  <si>
    <t>0.478 ± 0.073</t>
  </si>
  <si>
    <t xml:space="preserve"> 0.550 ± 0.191</t>
  </si>
  <si>
    <t>0.386 ± 0.141</t>
  </si>
  <si>
    <t xml:space="preserve"> 0.448 ± 0.157</t>
  </si>
  <si>
    <t>0.597 ± 0.150</t>
  </si>
  <si>
    <t>0.483 ± 0.115</t>
  </si>
  <si>
    <t xml:space="preserve"> 0.582 ± 0.129</t>
  </si>
  <si>
    <t xml:space="preserve">Method </t>
  </si>
  <si>
    <t>Direct</t>
  </si>
  <si>
    <t>Dual</t>
  </si>
  <si>
    <t>========================================================================</t>
  </si>
  <si>
    <t>AGGREGATE RESULTS</t>
  </si>
  <si>
    <t>================================================================================</t>
  </si>
  <si>
    <t xml:space="preserve"> Fold  N  Prog Accuracy Precision Recall    F1 Specificity   AUC    AP</t>
  </si>
  <si>
    <t xml:space="preserve">    0 36    18    0.528     0.526  0.556 0.541       0.500 0.546 0.527</t>
  </si>
  <si>
    <t xml:space="preserve">    1 35    24    0.686     0.686  1.000 0.814       0.000 0.479 0.677</t>
  </si>
  <si>
    <t xml:space="preserve">    2 35    23    0.343     0.000  0.000 0.000       1.000 0.457 0.704</t>
  </si>
  <si>
    <t xml:space="preserve">    3 35    21    0.400     0.000  0.000 0.000       1.000 0.449 0.607</t>
  </si>
  <si>
    <t xml:space="preserve">    4 35    18    0.486     0.000  0.000 0.000       1.000 0.660 0.614</t>
  </si>
  <si>
    <t>============================================================</t>
  </si>
  <si>
    <t>MEAN ± STD ACROSS FOLDS</t>
  </si>
  <si>
    <t xml:space="preserve">  Accuracy       : 0.488 ± 0.118</t>
  </si>
  <si>
    <t xml:space="preserve">  Precision      : 0.242 ± 0.301</t>
  </si>
  <si>
    <t xml:space="preserve">  Recall         : 0.311 ± 0.406</t>
  </si>
  <si>
    <t xml:space="preserve">  F1 Score       : 0.271 ± 0.343</t>
  </si>
  <si>
    <t xml:space="preserve">  Specificity    : 0.700 ± 0.400</t>
  </si>
  <si>
    <t xml:space="preserve">  Auc Roc        : 0.518 ± 0.079</t>
  </si>
  <si>
    <t xml:space="preserve">  Average Precision: 0.626 ± 0.062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</si>
</sst>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6" xfId="0" applyBorder="1"/>
    <xf numFmtId="10" fontId="0" fillId="0" borderId="1" xfId="0" applyNumberFormat="1" applyBorder="1"/>
    <xf numFmtId="9" fontId="0" fillId="0" borderId="1" xfId="0" applyNumberFormat="1" applyBorder="1"/>
    <xf numFmtId="10" fontId="0" fillId="0" borderId="2" xfId="0" applyNumberFormat="1" applyBorder="1"/>
    <xf numFmtId="0" fontId="1" fillId="0" borderId="6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2" xfId="0" applyFont="1" applyBorder="1"/>
    <xf numFmtId="2" fontId="0" fillId="0" borderId="1" xfId="0" applyNumberForma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0" fillId="0" borderId="4" xfId="0" applyBorder="1"/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2" xfId="0" applyFont="1" applyFill="1" applyBorder="1"/>
    <xf numFmtId="0" fontId="1" fillId="0" borderId="7" xfId="0" applyFont="1" applyFill="1" applyBorder="1"/>
    <xf numFmtId="0" fontId="1" fillId="0" borderId="3" xfId="0" applyFont="1" applyFill="1" applyBorder="1"/>
    <xf numFmtId="0" fontId="0" fillId="0" borderId="1" xfId="0" applyFont="1" applyBorder="1"/>
    <xf numFmtId="0" fontId="1" fillId="0" borderId="5" xfId="0" applyFont="1" applyBorder="1"/>
    <xf numFmtId="0" fontId="0" fillId="0" borderId="8" xfId="0" applyBorder="1" applyAlignment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3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522451</xdr:colOff>
      <xdr:row>0</xdr:row>
      <xdr:rowOff>31824</xdr:rowOff>
    </xdr:from>
    <xdr:to>
      <xdr:col>13</xdr:col>
      <xdr:colOff>591671</xdr:colOff>
      <xdr:row>20</xdr:row>
      <xdr:rowOff>160161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10F31-7E27-54E7-E725-69DC1F738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3722" y="31824"/>
          <a:ext cx="5430114" cy="3687325"/>
        </a:xfrm>
        <a:prstGeom prst="rect">
          <a:avLst/>
        </a:prstGeom>
      </xdr:spPr>
    </xdr:pic>
    <xdr:clientData/>
  </xdr:twoCellAnchor>
  <xdr:twoCellAnchor editAs="oneCell">
    <xdr:from>
      <xdr:col>17</xdr:col>
      <xdr:colOff>385482</xdr:colOff>
      <xdr:row>32</xdr:row>
      <xdr:rowOff>89647</xdr:rowOff>
    </xdr:from>
    <xdr:to>
      <xdr:col>20</xdr:col>
      <xdr:colOff>609452</xdr:colOff>
      <xdr:row>43</xdr:row>
      <xdr:rowOff>125506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32761-2F24-2E4E-415B-74B13473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0282" y="5800165"/>
          <a:ext cx="2913383" cy="2008094"/>
        </a:xfrm>
        <a:prstGeom prst="rect">
          <a:avLst/>
        </a:prstGeom>
      </xdr:spPr>
    </xdr:pic>
    <xdr:clientData/>
  </xdr:twoCellAnchor>
  <xdr:twoCellAnchor editAs="oneCell">
    <xdr:from>
      <xdr:col>6</xdr:col>
      <xdr:colOff>322730</xdr:colOff>
      <xdr:row>56</xdr:row>
      <xdr:rowOff>1</xdr:rowOff>
    </xdr:from>
    <xdr:to>
      <xdr:col>8</xdr:col>
      <xdr:colOff>787828</xdr:colOff>
      <xdr:row>67</xdr:row>
      <xdr:rowOff>89647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DBAF4A-C226-266C-E962-8686BDFB8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1" y="10013577"/>
          <a:ext cx="2822815" cy="2061882"/>
        </a:xfrm>
        <a:prstGeom prst="rect">
          <a:avLst/>
        </a:prstGeom>
      </xdr:spPr>
    </xdr:pic>
    <xdr:clientData/>
  </xdr:twoCellAnchor>
  <xdr:twoCellAnchor editAs="oneCell">
    <xdr:from>
      <xdr:col>6</xdr:col>
      <xdr:colOff>268941</xdr:colOff>
      <xdr:row>33</xdr:row>
      <xdr:rowOff>8963</xdr:rowOff>
    </xdr:from>
    <xdr:to>
      <xdr:col>8</xdr:col>
      <xdr:colOff>708212</xdr:colOff>
      <xdr:row>44</xdr:row>
      <xdr:rowOff>19607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607F24-27D4-390B-8758-C3A5D9C8F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9412" y="5898775"/>
          <a:ext cx="2796988" cy="1982879"/>
        </a:xfrm>
        <a:prstGeom prst="rect">
          <a:avLst/>
        </a:prstGeom>
      </xdr:spPr>
    </xdr:pic>
    <xdr:clientData/>
  </xdr:twoCellAnchor>
  <xdr:twoCellAnchor editAs="oneCell">
    <xdr:from>
      <xdr:col>16</xdr:col>
      <xdr:colOff>833718</xdr:colOff>
      <xdr:row>56</xdr:row>
      <xdr:rowOff>17930</xdr:rowOff>
    </xdr:from>
    <xdr:to>
      <xdr:col>21</xdr:col>
      <xdr:colOff>249795</xdr:colOff>
      <xdr:row>69</xdr:row>
      <xdr:rowOff>40109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E61601-12B0-8B2E-670A-05B9FABFF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08071" y="10031506"/>
          <a:ext cx="3324689" cy="2353003"/>
        </a:xfrm>
        <a:prstGeom prst="rect">
          <a:avLst/>
        </a:prstGeom>
      </xdr:spPr>
    </xdr:pic>
    <xdr:clientData/>
  </xdr:twoCellAnchor>
  <xdr:twoCellAnchor editAs="oneCell">
    <xdr:from>
      <xdr:col>6</xdr:col>
      <xdr:colOff>806825</xdr:colOff>
      <xdr:row>81</xdr:row>
      <xdr:rowOff>107578</xdr:rowOff>
    </xdr:from>
    <xdr:to>
      <xdr:col>10</xdr:col>
      <xdr:colOff>46012</xdr:colOff>
      <xdr:row>94</xdr:row>
      <xdr:rowOff>35859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DCBCBC-2B09-BE04-73BF-D8F9BA227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12425" y="14603507"/>
          <a:ext cx="3111940" cy="2259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58207</xdr:colOff>
      <xdr:row>5</xdr:row>
      <xdr:rowOff>119744</xdr:rowOff>
    </xdr:from>
    <xdr:to>
      <xdr:col>14</xdr:col>
      <xdr:colOff>209796</xdr:colOff>
      <xdr:row>17</xdr:row>
      <xdr:rowOff>24333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E2812-3274-4FD4-908A-BA20B2EAE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2664" y="1045030"/>
          <a:ext cx="2589989" cy="2125274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65314</xdr:colOff>
      <xdr:row>33</xdr:row>
      <xdr:rowOff>1</xdr:rowOff>
    </xdr:from>
    <xdr:to>
      <xdr:col>14</xdr:col>
      <xdr:colOff>147573</xdr:colOff>
      <xdr:row>43</xdr:row>
      <xdr:rowOff>21772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CF597-538D-0900-C883-D711F341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571" y="6106887"/>
          <a:ext cx="2520659" cy="1872342"/>
        </a:xfrm>
        <a:prstGeom prst="rect">
          <a:avLst/>
        </a:prstGeom>
      </xdr:spPr>
    </xdr:pic>
    <xdr:clientData/>
  </xdr:twoCellAnchor>
  <xdr:twoCellAnchor editAs="oneCell">
    <xdr:from>
      <xdr:col>10</xdr:col>
      <xdr:colOff>32657</xdr:colOff>
      <xdr:row>21</xdr:row>
      <xdr:rowOff>163286</xdr:rowOff>
    </xdr:from>
    <xdr:to>
      <xdr:col>14</xdr:col>
      <xdr:colOff>195943</xdr:colOff>
      <xdr:row>32</xdr:row>
      <xdr:rowOff>109894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57E61F-C7B3-E435-9C7E-1D9CF96D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99914" y="4049486"/>
          <a:ext cx="2601686" cy="1982237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44</xdr:row>
      <xdr:rowOff>65316</xdr:rowOff>
    </xdr:from>
    <xdr:to>
      <xdr:col>14</xdr:col>
      <xdr:colOff>217716</xdr:colOff>
      <xdr:row>53</xdr:row>
      <xdr:rowOff>82356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A613A7-4A59-8415-DF1F-EA910614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43457" y="8207830"/>
          <a:ext cx="2579916" cy="1682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533399</xdr:colOff>
      <xdr:row>16</xdr:row>
      <xdr:rowOff>0</xdr:rowOff>
    </xdr:from>
    <xdr:to>
      <xdr:col>12</xdr:col>
      <xdr:colOff>274318</xdr:colOff>
      <xdr:row>24</xdr:row>
      <xdr:rowOff>163152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8683B-C168-A865-CC67-D09DEDDC3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3819" y="2926080"/>
          <a:ext cx="2179319" cy="1626192"/>
        </a:xfrm>
        <a:prstGeom prst="rect">
          <a:avLst/>
        </a:prstGeom>
      </xdr:spPr>
    </xdr:pic>
    <xdr:clientData/>
  </xdr:twoCellAnchor>
  <xdr:twoCellAnchor editAs="oneCell">
    <xdr:from>
      <xdr:col>8</xdr:col>
      <xdr:colOff>515046</xdr:colOff>
      <xdr:row>6</xdr:row>
      <xdr:rowOff>22860</xdr:rowOff>
    </xdr:from>
    <xdr:to>
      <xdr:col>12</xdr:col>
      <xdr:colOff>190497</xdr:colOff>
      <xdr:row>14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5A8B2E-B96E-75EA-A4AC-5A2AD3B5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5466" y="1120140"/>
          <a:ext cx="2113851" cy="1577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EFBCC-FF40-4F66-B649-0C96AC862806}" name="Table2" displayName="Table2" ref="A25:I30" totalsRowShown="0" headerRowDxfId="23" headerRowBorderDxfId="22" tableBorderDxfId="21" totalsRowBorderDxfId="20">
  <autoFilter ref="A25:I30" xr:uid="{3DAEFBCC-FF40-4F66-B649-0C96AC862806}"/>
  <tableColumns count="9">
    <tableColumn id="1" xr3:uid="{1AB4FC38-4517-44F4-A99A-E57AA670AD0F}" name="Training" dataDxfId="19"/>
    <tableColumn id="3" xr3:uid="{B424091A-0662-4390-A0BE-918C2A0A03FC}" name="Accuracy" dataDxfId="18"/>
    <tableColumn id="4" xr3:uid="{EB3FD60A-926F-457D-B1BB-C6AA1875C8C0}" name="Precision" dataDxfId="17"/>
    <tableColumn id="5" xr3:uid="{DD322310-0117-4984-99C0-4E835D410D91}" name="Recall" dataDxfId="16"/>
    <tableColumn id="6" xr3:uid="{E019C0FD-7F71-4FCD-A98E-66D99246B5AB}" name="F1-Score" dataDxfId="15"/>
    <tableColumn id="7" xr3:uid="{DC66C15B-74CC-4F2B-858F-2B2AA38304B0}" name="Specificity" dataDxfId="14"/>
    <tableColumn id="8" xr3:uid="{47AE70D0-AB50-4496-AFB0-1AD3D4827CA8}" name="AUC"/>
    <tableColumn id="9" xr3:uid="{45ADE258-6CA2-422A-81B2-1753A5D5207C}" name="AP" dataDxfId="13"/>
    <tableColumn id="2" xr3:uid="{2E69A242-1017-4CBC-88EB-F049FD853CEF}" name="MAE FVC(52)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3C3EB8-5609-4992-9DA2-D096A2931B4C}" name="Table4" displayName="Table4" ref="B54:I58" totalsRowShown="0" headerRowDxfId="0" headerRowBorderDxfId="10" tableBorderDxfId="11" totalsRowBorderDxfId="9">
  <autoFilter ref="B54:I58" xr:uid="{283C3EB8-5609-4992-9DA2-D096A2931B4C}"/>
  <tableColumns count="8">
    <tableColumn id="1" xr3:uid="{3804F7FF-3518-4004-8801-5F48A60B7575}" name="Comparison" dataDxfId="8"/>
    <tableColumn id="2" xr3:uid="{BFD40A82-7234-4E43-ADB0-D7E21511D420}" name="Accuracy" dataDxfId="7"/>
    <tableColumn id="3" xr3:uid="{31955317-14D4-482F-A780-7A369586C696}" name="Precision" dataDxfId="6"/>
    <tableColumn id="4" xr3:uid="{3FFDF15D-F4FF-4C1F-846A-06C62F1F7346}" name="Recall" dataDxfId="5"/>
    <tableColumn id="5" xr3:uid="{72BAAF2B-6ABC-45E4-9DEA-BDB382A0A91E}" name="F1-Score" dataDxfId="4"/>
    <tableColumn id="6" xr3:uid="{95764A1F-BE38-4B5A-A259-F10FA2320A2F}" name="Specificity" dataDxfId="3"/>
    <tableColumn id="7" xr3:uid="{4E089CA8-B016-4BF2-A76C-F4F63C6E73B7}" name="AUC" dataDxfId="2"/>
    <tableColumn id="8" xr3:uid="{94336788-43C2-49A6-B63A-CE34E81BA464}" name="A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8E34-A5AC-46DE-BB00-B66C779675C6}">
  <dimension ref="A1:S103"/>
  <sheetViews>
    <sheetView tabSelected="1" topLeftCell="A17" zoomScale="115" zoomScaleNormal="115" workbookViewId="0">
      <selection activeCell="D64" sqref="D64"/>
    </sheetView>
  </sheetViews>
  <sheetFormatPr defaultRowHeight="14.4" x14ac:dyDescent="0.3"/>
  <cols>
    <col min="1" max="1" width="25.44140625" customWidth="1"/>
    <col min="2" max="2" width="14.44140625" customWidth="1"/>
    <col min="3" max="3" width="14.33203125" customWidth="1"/>
    <col min="4" max="4" width="15.109375" customWidth="1"/>
    <col min="5" max="5" width="14.44140625" customWidth="1"/>
    <col min="6" max="6" width="13.77734375" customWidth="1"/>
    <col min="7" max="8" width="15.44140625" customWidth="1"/>
    <col min="9" max="9" width="16.6640625" customWidth="1"/>
    <col min="11" max="11" width="19.88671875" customWidth="1"/>
    <col min="12" max="12" width="16.5546875" customWidth="1"/>
    <col min="13" max="13" width="16.109375" customWidth="1"/>
    <col min="14" max="14" width="16" customWidth="1"/>
    <col min="15" max="15" width="12.44140625" customWidth="1"/>
    <col min="16" max="16" width="13.21875" customWidth="1"/>
    <col min="17" max="17" width="13.33203125" customWidth="1"/>
    <col min="18" max="18" width="13.6640625" customWidth="1"/>
    <col min="19" max="19" width="12.109375" customWidth="1"/>
  </cols>
  <sheetData>
    <row r="1" spans="1:6" x14ac:dyDescent="0.3">
      <c r="A1" s="9" t="s">
        <v>0</v>
      </c>
      <c r="B1" s="10" t="s">
        <v>30</v>
      </c>
      <c r="C1" s="9" t="s">
        <v>12</v>
      </c>
      <c r="D1" s="9" t="s">
        <v>14</v>
      </c>
      <c r="E1" s="11" t="s">
        <v>15</v>
      </c>
      <c r="F1" s="10" t="s">
        <v>16</v>
      </c>
    </row>
    <row r="2" spans="1:6" x14ac:dyDescent="0.3">
      <c r="A2" s="10" t="s">
        <v>6</v>
      </c>
      <c r="B2" s="1">
        <v>176</v>
      </c>
      <c r="C2" s="1">
        <v>-4.5199999999999996</v>
      </c>
      <c r="D2" s="1">
        <v>6.12</v>
      </c>
      <c r="E2" s="8">
        <v>0.14199999999999999</v>
      </c>
      <c r="F2" s="6">
        <v>0.78400000000000003</v>
      </c>
    </row>
    <row r="3" spans="1:6" x14ac:dyDescent="0.3">
      <c r="A3" s="25" t="s">
        <v>1</v>
      </c>
      <c r="B3" s="26"/>
      <c r="C3" s="26"/>
      <c r="D3" s="26"/>
      <c r="E3" s="26"/>
      <c r="F3" s="27"/>
    </row>
    <row r="4" spans="1:6" x14ac:dyDescent="0.3">
      <c r="A4" s="1" t="s">
        <v>27</v>
      </c>
      <c r="B4" s="1">
        <v>105</v>
      </c>
      <c r="C4" s="1">
        <v>-4.18</v>
      </c>
      <c r="D4" s="1">
        <v>5.98</v>
      </c>
      <c r="E4" s="8">
        <v>0.152</v>
      </c>
      <c r="F4" s="6">
        <v>0.752</v>
      </c>
    </row>
    <row r="5" spans="1:6" x14ac:dyDescent="0.3">
      <c r="A5" s="1" t="s">
        <v>28</v>
      </c>
      <c r="B5" s="1">
        <v>35</v>
      </c>
      <c r="C5" s="1">
        <v>-5.33</v>
      </c>
      <c r="D5" s="1">
        <v>5.18</v>
      </c>
      <c r="E5" s="8">
        <v>8.5999999999999993E-2</v>
      </c>
      <c r="F5" s="6">
        <v>0.82899999999999996</v>
      </c>
    </row>
    <row r="6" spans="1:6" x14ac:dyDescent="0.3">
      <c r="A6" s="1" t="s">
        <v>29</v>
      </c>
      <c r="B6" s="1">
        <v>36</v>
      </c>
      <c r="C6" s="1">
        <v>-4.7300000000000004</v>
      </c>
      <c r="D6" s="1">
        <v>7.19</v>
      </c>
      <c r="E6" s="8">
        <v>0.16700000000000001</v>
      </c>
      <c r="F6" s="6">
        <v>0.83299999999999996</v>
      </c>
    </row>
    <row r="7" spans="1:6" x14ac:dyDescent="0.3">
      <c r="A7" s="25" t="s">
        <v>2</v>
      </c>
      <c r="B7" s="26"/>
      <c r="C7" s="26"/>
      <c r="D7" s="26"/>
      <c r="E7" s="26"/>
      <c r="F7" s="27"/>
    </row>
    <row r="8" spans="1:6" x14ac:dyDescent="0.3">
      <c r="A8" s="1" t="s">
        <v>27</v>
      </c>
      <c r="B8" s="1">
        <v>106</v>
      </c>
      <c r="C8" s="1">
        <v>-4.84</v>
      </c>
      <c r="D8" s="1">
        <v>6.4</v>
      </c>
      <c r="E8" s="8">
        <v>0.17</v>
      </c>
      <c r="F8" s="6">
        <v>0.78300000000000003</v>
      </c>
    </row>
    <row r="9" spans="1:6" x14ac:dyDescent="0.3">
      <c r="A9" s="1" t="s">
        <v>28</v>
      </c>
      <c r="B9" s="1">
        <v>35</v>
      </c>
      <c r="C9" s="1">
        <v>-2.77</v>
      </c>
      <c r="D9" s="1">
        <v>5.78</v>
      </c>
      <c r="E9" s="8">
        <v>0.114</v>
      </c>
      <c r="F9" s="6">
        <v>0.77100000000000002</v>
      </c>
    </row>
    <row r="10" spans="1:6" ht="12" customHeight="1" x14ac:dyDescent="0.3">
      <c r="A10" s="1" t="s">
        <v>29</v>
      </c>
      <c r="B10" s="1">
        <v>35</v>
      </c>
      <c r="C10" s="1">
        <v>-5.33</v>
      </c>
      <c r="D10" s="1">
        <v>5.18</v>
      </c>
      <c r="E10" s="8">
        <v>8.5999999999999993E-2</v>
      </c>
      <c r="F10" s="6">
        <v>0.82899999999999996</v>
      </c>
    </row>
    <row r="11" spans="1:6" x14ac:dyDescent="0.3">
      <c r="A11" s="25" t="s">
        <v>3</v>
      </c>
      <c r="B11" s="26"/>
      <c r="C11" s="26"/>
      <c r="D11" s="26"/>
      <c r="E11" s="26"/>
      <c r="F11" s="27"/>
    </row>
    <row r="12" spans="1:6" x14ac:dyDescent="0.3">
      <c r="A12" s="1" t="s">
        <v>27</v>
      </c>
      <c r="B12" s="1">
        <v>106</v>
      </c>
      <c r="C12" s="1">
        <v>-4.8</v>
      </c>
      <c r="D12" s="1">
        <v>6.16</v>
      </c>
      <c r="E12" s="8">
        <v>0.13200000000000001</v>
      </c>
      <c r="F12" s="6">
        <v>0.80200000000000005</v>
      </c>
    </row>
    <row r="13" spans="1:6" x14ac:dyDescent="0.3">
      <c r="A13" s="1" t="s">
        <v>28</v>
      </c>
      <c r="B13" s="1">
        <v>35</v>
      </c>
      <c r="C13" s="1">
        <v>-5.46</v>
      </c>
      <c r="D13" s="1">
        <v>5.97</v>
      </c>
      <c r="E13" s="8">
        <v>0.2</v>
      </c>
      <c r="F13" s="6">
        <v>0.68600000000000005</v>
      </c>
    </row>
    <row r="14" spans="1:6" x14ac:dyDescent="0.3">
      <c r="A14" s="1" t="s">
        <v>29</v>
      </c>
      <c r="B14" s="1">
        <v>35</v>
      </c>
      <c r="C14" s="1">
        <v>-2.77</v>
      </c>
      <c r="D14" s="1">
        <v>5.78</v>
      </c>
      <c r="E14" s="8">
        <v>0.114</v>
      </c>
      <c r="F14" s="6">
        <v>0.77100000000000002</v>
      </c>
    </row>
    <row r="15" spans="1:6" x14ac:dyDescent="0.3">
      <c r="A15" s="25" t="s">
        <v>4</v>
      </c>
      <c r="B15" s="26"/>
      <c r="C15" s="26"/>
      <c r="D15" s="26"/>
      <c r="E15" s="26"/>
      <c r="F15" s="27"/>
    </row>
    <row r="16" spans="1:6" x14ac:dyDescent="0.3">
      <c r="A16" s="1" t="s">
        <v>27</v>
      </c>
      <c r="B16" s="1">
        <v>106</v>
      </c>
      <c r="C16" s="1">
        <v>-4.28</v>
      </c>
      <c r="D16" s="1">
        <v>6.22</v>
      </c>
      <c r="E16" s="8">
        <v>0.123</v>
      </c>
      <c r="F16" s="7">
        <v>0.84</v>
      </c>
    </row>
    <row r="17" spans="1:11" x14ac:dyDescent="0.3">
      <c r="A17" s="1" t="s">
        <v>28</v>
      </c>
      <c r="B17" s="1">
        <v>35</v>
      </c>
      <c r="C17" s="1">
        <v>-4.33</v>
      </c>
      <c r="D17" s="1">
        <v>5.87</v>
      </c>
      <c r="E17" s="8">
        <v>0.14299999999999999</v>
      </c>
      <c r="F17" s="6">
        <v>0.71399999999999997</v>
      </c>
    </row>
    <row r="18" spans="1:11" x14ac:dyDescent="0.3">
      <c r="A18" s="1" t="s">
        <v>29</v>
      </c>
      <c r="B18" s="1">
        <v>35</v>
      </c>
      <c r="C18" s="1">
        <v>-5.46</v>
      </c>
      <c r="D18" s="1">
        <v>5.97</v>
      </c>
      <c r="E18" s="8">
        <v>0.2</v>
      </c>
      <c r="F18" s="6">
        <v>0.68600000000000005</v>
      </c>
    </row>
    <row r="19" spans="1:11" x14ac:dyDescent="0.3">
      <c r="A19" s="25" t="s">
        <v>5</v>
      </c>
      <c r="B19" s="26"/>
      <c r="C19" s="26"/>
      <c r="D19" s="26"/>
      <c r="E19" s="26"/>
      <c r="F19" s="27"/>
    </row>
    <row r="20" spans="1:11" x14ac:dyDescent="0.3">
      <c r="A20" s="1" t="s">
        <v>27</v>
      </c>
      <c r="B20" s="1">
        <v>105</v>
      </c>
      <c r="C20" s="1">
        <v>-4.5199999999999996</v>
      </c>
      <c r="D20" s="1">
        <v>5.79</v>
      </c>
      <c r="E20" s="8">
        <v>0.13300000000000001</v>
      </c>
      <c r="F20" s="6">
        <v>0.79</v>
      </c>
    </row>
    <row r="21" spans="1:11" x14ac:dyDescent="0.3">
      <c r="A21" s="1" t="s">
        <v>28</v>
      </c>
      <c r="B21" s="1">
        <v>36</v>
      </c>
      <c r="C21" s="1">
        <v>-4.7300000000000004</v>
      </c>
      <c r="D21" s="1">
        <v>7.19</v>
      </c>
      <c r="E21" s="8">
        <v>0.16700000000000001</v>
      </c>
      <c r="F21" s="6">
        <v>0.83299999999999996</v>
      </c>
    </row>
    <row r="22" spans="1:11" x14ac:dyDescent="0.3">
      <c r="A22" s="1" t="s">
        <v>29</v>
      </c>
      <c r="B22" s="1">
        <v>35</v>
      </c>
      <c r="C22" s="1">
        <v>-4.33</v>
      </c>
      <c r="D22" s="1">
        <v>5.87</v>
      </c>
      <c r="E22" s="8">
        <v>0.14299999999999999</v>
      </c>
      <c r="F22" s="6">
        <v>0.71399999999999997</v>
      </c>
    </row>
    <row r="24" spans="1:11" x14ac:dyDescent="0.3">
      <c r="A24" s="21" t="s">
        <v>63</v>
      </c>
      <c r="B24" s="21"/>
      <c r="C24" s="21"/>
      <c r="D24" s="21"/>
      <c r="E24" s="21"/>
      <c r="F24" s="21"/>
      <c r="G24" s="21"/>
      <c r="H24" s="21"/>
      <c r="I24" s="21"/>
    </row>
    <row r="25" spans="1:11" x14ac:dyDescent="0.3">
      <c r="A25" s="14" t="s">
        <v>67</v>
      </c>
      <c r="B25" s="15" t="s">
        <v>18</v>
      </c>
      <c r="C25" s="15" t="s">
        <v>19</v>
      </c>
      <c r="D25" s="15" t="s">
        <v>20</v>
      </c>
      <c r="E25" s="15" t="s">
        <v>21</v>
      </c>
      <c r="F25" s="15" t="s">
        <v>22</v>
      </c>
      <c r="G25" s="15" t="s">
        <v>23</v>
      </c>
      <c r="H25" s="16" t="s">
        <v>24</v>
      </c>
      <c r="I25" s="16" t="s">
        <v>95</v>
      </c>
      <c r="J25" s="4"/>
      <c r="K25" s="4"/>
    </row>
    <row r="26" spans="1:11" x14ac:dyDescent="0.3">
      <c r="A26" s="19" t="s">
        <v>68</v>
      </c>
      <c r="B26" s="10" t="s">
        <v>56</v>
      </c>
      <c r="C26" s="10" t="s">
        <v>57</v>
      </c>
      <c r="D26" s="10" t="s">
        <v>58</v>
      </c>
      <c r="E26" s="10" t="s">
        <v>59</v>
      </c>
      <c r="F26" s="10" t="s">
        <v>60</v>
      </c>
      <c r="G26" s="10" t="s">
        <v>61</v>
      </c>
      <c r="H26" s="12" t="s">
        <v>62</v>
      </c>
      <c r="I26" s="11" t="s">
        <v>53</v>
      </c>
    </row>
    <row r="27" spans="1:11" x14ac:dyDescent="0.3">
      <c r="A27" s="19" t="s">
        <v>69</v>
      </c>
      <c r="B27" s="1" t="s">
        <v>45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2" t="s">
        <v>51</v>
      </c>
      <c r="I27" s="2" t="s">
        <v>42</v>
      </c>
    </row>
    <row r="28" spans="1:11" x14ac:dyDescent="0.3">
      <c r="A28" s="20" t="s">
        <v>81</v>
      </c>
      <c r="B28" s="5" t="s">
        <v>35</v>
      </c>
      <c r="C28" s="5" t="s">
        <v>36</v>
      </c>
      <c r="D28" s="5" t="s">
        <v>37</v>
      </c>
      <c r="E28" s="5" t="s">
        <v>38</v>
      </c>
      <c r="F28" s="5" t="s">
        <v>39</v>
      </c>
      <c r="G28" s="5" t="s">
        <v>40</v>
      </c>
      <c r="H28" s="17" t="s">
        <v>41</v>
      </c>
      <c r="I28" s="2" t="s">
        <v>31</v>
      </c>
    </row>
    <row r="29" spans="1:11" x14ac:dyDescent="0.3">
      <c r="A29" s="20" t="s">
        <v>82</v>
      </c>
      <c r="B29" s="1" t="s">
        <v>74</v>
      </c>
      <c r="C29" s="1" t="s">
        <v>75</v>
      </c>
      <c r="D29" s="1" t="s">
        <v>76</v>
      </c>
      <c r="E29" s="1" t="s">
        <v>77</v>
      </c>
      <c r="F29" s="1" t="s">
        <v>78</v>
      </c>
      <c r="G29" s="1" t="s">
        <v>79</v>
      </c>
      <c r="H29" s="1" t="s">
        <v>80</v>
      </c>
      <c r="I29" s="17" t="s">
        <v>71</v>
      </c>
    </row>
    <row r="30" spans="1:11" x14ac:dyDescent="0.3">
      <c r="A30" s="20" t="s">
        <v>94</v>
      </c>
      <c r="B30" s="5" t="s">
        <v>87</v>
      </c>
      <c r="C30" s="5" t="s">
        <v>88</v>
      </c>
      <c r="D30" s="5" t="s">
        <v>89</v>
      </c>
      <c r="E30" s="5" t="s">
        <v>90</v>
      </c>
      <c r="F30" s="5" t="s">
        <v>91</v>
      </c>
      <c r="G30" s="5" t="s">
        <v>92</v>
      </c>
      <c r="H30" s="17" t="s">
        <v>93</v>
      </c>
      <c r="I30" s="2" t="s">
        <v>42</v>
      </c>
    </row>
    <row r="33" spans="1:19" x14ac:dyDescent="0.3">
      <c r="A33" s="21" t="s">
        <v>64</v>
      </c>
      <c r="B33" s="21"/>
      <c r="C33" s="21"/>
      <c r="D33" s="21"/>
      <c r="E33" s="21"/>
      <c r="F33" s="21"/>
      <c r="G33" s="21"/>
      <c r="I33" s="4"/>
      <c r="J33" s="4"/>
      <c r="K33" s="21" t="s">
        <v>66</v>
      </c>
      <c r="L33" s="21"/>
      <c r="M33" s="21"/>
      <c r="N33" s="21"/>
      <c r="O33" s="21"/>
      <c r="P33" s="21"/>
      <c r="Q33" s="21"/>
      <c r="R33" s="21"/>
    </row>
    <row r="34" spans="1:19" x14ac:dyDescent="0.3">
      <c r="A34" s="10" t="s">
        <v>0</v>
      </c>
      <c r="B34" s="10" t="s">
        <v>25</v>
      </c>
      <c r="C34" s="10" t="s">
        <v>26</v>
      </c>
      <c r="D34" s="10" t="s">
        <v>12</v>
      </c>
      <c r="E34" s="10" t="s">
        <v>14</v>
      </c>
      <c r="F34" s="10" t="s">
        <v>13</v>
      </c>
      <c r="K34" s="10" t="s">
        <v>0</v>
      </c>
      <c r="L34" s="10"/>
      <c r="M34" s="10" t="s">
        <v>25</v>
      </c>
      <c r="N34" s="10" t="s">
        <v>26</v>
      </c>
      <c r="O34" s="10" t="s">
        <v>12</v>
      </c>
      <c r="P34" s="10" t="s">
        <v>14</v>
      </c>
      <c r="Q34" s="10" t="s">
        <v>13</v>
      </c>
    </row>
    <row r="35" spans="1:19" x14ac:dyDescent="0.3">
      <c r="A35" s="1" t="s">
        <v>1</v>
      </c>
      <c r="B35" s="1">
        <v>-5.58</v>
      </c>
      <c r="C35" s="1">
        <v>-1.25</v>
      </c>
      <c r="D35" s="1">
        <v>-5.26</v>
      </c>
      <c r="E35" s="1">
        <v>0.76</v>
      </c>
      <c r="F35" s="1">
        <v>-5.49</v>
      </c>
      <c r="K35" s="22" t="s">
        <v>1</v>
      </c>
      <c r="L35" s="23"/>
      <c r="M35" s="1">
        <v>-4.07</v>
      </c>
      <c r="N35" s="1">
        <v>-3.77</v>
      </c>
      <c r="O35" s="1">
        <v>-3.97</v>
      </c>
      <c r="P35" s="1">
        <v>6.4199999999999993E-2</v>
      </c>
      <c r="Q35" s="1">
        <v>-3.98</v>
      </c>
    </row>
    <row r="36" spans="1:19" x14ac:dyDescent="0.3">
      <c r="A36" s="1" t="s">
        <v>2</v>
      </c>
      <c r="B36" s="1">
        <v>-2.48</v>
      </c>
      <c r="C36" s="1">
        <f>-2.19</f>
        <v>-2.19</v>
      </c>
      <c r="D36" s="1">
        <v>-2.35</v>
      </c>
      <c r="E36" s="1">
        <v>0.06</v>
      </c>
      <c r="F36" s="1">
        <v>-2.36</v>
      </c>
      <c r="K36" s="2" t="s">
        <v>2</v>
      </c>
      <c r="L36" s="3"/>
      <c r="M36" s="1">
        <v>-2.78</v>
      </c>
      <c r="N36" s="1">
        <v>-2.2799999999999998</v>
      </c>
      <c r="O36" s="1">
        <v>-2.57</v>
      </c>
      <c r="P36" s="1">
        <v>0.11990000000000001</v>
      </c>
      <c r="Q36" s="1">
        <v>-2.61</v>
      </c>
    </row>
    <row r="37" spans="1:19" x14ac:dyDescent="0.3">
      <c r="A37" s="1" t="s">
        <v>3</v>
      </c>
      <c r="B37" s="1">
        <v>-5.89</v>
      </c>
      <c r="C37" s="1">
        <v>-3.46</v>
      </c>
      <c r="D37" s="1">
        <v>-5.67</v>
      </c>
      <c r="E37" s="1">
        <v>0.47</v>
      </c>
      <c r="F37" s="1">
        <v>-5.83</v>
      </c>
      <c r="K37" s="22" t="s">
        <v>3</v>
      </c>
      <c r="L37" s="23"/>
      <c r="M37" s="1">
        <v>-5.09</v>
      </c>
      <c r="N37" s="1">
        <v>-3.55</v>
      </c>
      <c r="O37" s="1">
        <v>-4.87</v>
      </c>
      <c r="P37" s="1">
        <v>0.31530000000000002</v>
      </c>
      <c r="Q37" s="1">
        <v>-5.0199999999999996</v>
      </c>
    </row>
    <row r="38" spans="1:19" x14ac:dyDescent="0.3">
      <c r="A38" s="1" t="s">
        <v>4</v>
      </c>
      <c r="B38" s="1">
        <v>-4.99</v>
      </c>
      <c r="C38" s="1">
        <v>-1.18</v>
      </c>
      <c r="D38" s="1">
        <v>-4.32</v>
      </c>
      <c r="E38" s="1">
        <v>0.97</v>
      </c>
      <c r="F38" s="1">
        <v>-4.84</v>
      </c>
      <c r="K38" s="22" t="s">
        <v>4</v>
      </c>
      <c r="L38" s="23"/>
      <c r="M38" s="1">
        <v>-3.83</v>
      </c>
      <c r="N38" s="1">
        <v>-3.5</v>
      </c>
      <c r="O38" s="1">
        <v>-3.68</v>
      </c>
      <c r="P38" s="1">
        <v>8.1500000000000003E-2</v>
      </c>
      <c r="Q38" s="1">
        <v>-3.66</v>
      </c>
    </row>
    <row r="39" spans="1:19" x14ac:dyDescent="0.3">
      <c r="A39" s="1" t="s">
        <v>5</v>
      </c>
      <c r="B39" s="1">
        <v>-5.0599999999999996</v>
      </c>
      <c r="C39" s="1">
        <v>-3.47</v>
      </c>
      <c r="D39" s="1">
        <v>-4.8499999999999996</v>
      </c>
      <c r="E39" s="1">
        <v>0.38</v>
      </c>
      <c r="F39" s="1">
        <v>-5.01</v>
      </c>
      <c r="K39" s="22" t="s">
        <v>5</v>
      </c>
      <c r="L39" s="23"/>
      <c r="M39" s="1">
        <v>-4.78</v>
      </c>
      <c r="N39" s="1">
        <v>-3.41</v>
      </c>
      <c r="O39" s="1">
        <v>-4.49</v>
      </c>
      <c r="P39" s="1">
        <v>0.32450000000000001</v>
      </c>
      <c r="Q39" s="1">
        <v>-4.62</v>
      </c>
    </row>
    <row r="40" spans="1:19" x14ac:dyDescent="0.3">
      <c r="A40" s="1" t="s">
        <v>52</v>
      </c>
      <c r="B40" s="1">
        <v>-5.89</v>
      </c>
      <c r="C40" s="1">
        <v>-1.18</v>
      </c>
      <c r="D40" s="1">
        <v>-4.49</v>
      </c>
      <c r="E40" s="13">
        <f>AVERAGE(E35:E39)</f>
        <v>0.52799999999999991</v>
      </c>
      <c r="F40" s="1">
        <v>-4.9800000000000004</v>
      </c>
      <c r="K40" s="22" t="s">
        <v>34</v>
      </c>
      <c r="L40" s="23"/>
      <c r="M40" s="1">
        <v>-5.09</v>
      </c>
      <c r="N40" s="1">
        <v>-2.2799999999999998</v>
      </c>
      <c r="O40" s="1">
        <v>-3.91</v>
      </c>
      <c r="P40" s="1">
        <f>AVERAGE(P35:P39)</f>
        <v>0.18107999999999999</v>
      </c>
      <c r="Q40" s="1">
        <v>-3.97</v>
      </c>
    </row>
    <row r="41" spans="1:19" x14ac:dyDescent="0.3">
      <c r="A41" s="10" t="s">
        <v>7</v>
      </c>
      <c r="B41" s="10" t="s">
        <v>9</v>
      </c>
      <c r="C41" s="10" t="s">
        <v>10</v>
      </c>
      <c r="D41" s="10" t="s">
        <v>11</v>
      </c>
      <c r="K41" s="10" t="s">
        <v>7</v>
      </c>
      <c r="L41" s="10"/>
      <c r="M41" s="10" t="s">
        <v>9</v>
      </c>
      <c r="N41" s="10" t="s">
        <v>10</v>
      </c>
      <c r="O41" s="10" t="s">
        <v>11</v>
      </c>
    </row>
    <row r="42" spans="1:19" x14ac:dyDescent="0.3">
      <c r="A42" s="1" t="s">
        <v>1</v>
      </c>
      <c r="B42" s="1">
        <v>271.87</v>
      </c>
      <c r="C42" s="1">
        <v>358.23</v>
      </c>
      <c r="D42" s="1">
        <v>0.79820000000000002</v>
      </c>
      <c r="K42" s="24" t="s">
        <v>1</v>
      </c>
      <c r="L42" s="24"/>
      <c r="M42" s="1">
        <v>256.62</v>
      </c>
      <c r="N42" s="1">
        <v>360.48</v>
      </c>
      <c r="O42" s="1">
        <v>0.79569999999999996</v>
      </c>
    </row>
    <row r="43" spans="1:19" x14ac:dyDescent="0.3">
      <c r="A43" s="1" t="s">
        <v>2</v>
      </c>
      <c r="B43" s="1">
        <v>205.03</v>
      </c>
      <c r="C43" s="1">
        <v>281.20999999999998</v>
      </c>
      <c r="D43" s="1">
        <v>0.90669999999999995</v>
      </c>
      <c r="K43" s="22" t="s">
        <v>2</v>
      </c>
      <c r="L43" s="23"/>
      <c r="M43" s="1">
        <v>202.6</v>
      </c>
      <c r="N43" s="1">
        <v>277.2</v>
      </c>
      <c r="O43" s="1">
        <v>0.90939999999999999</v>
      </c>
    </row>
    <row r="44" spans="1:19" x14ac:dyDescent="0.3">
      <c r="A44" s="1" t="s">
        <v>3</v>
      </c>
      <c r="B44" s="1">
        <v>307.61</v>
      </c>
      <c r="C44" s="1">
        <v>408.72</v>
      </c>
      <c r="D44" s="1">
        <v>0.72899999999999998</v>
      </c>
      <c r="K44" s="22" t="s">
        <v>3</v>
      </c>
      <c r="L44" s="23"/>
      <c r="M44" s="1">
        <v>285.27</v>
      </c>
      <c r="N44" s="1">
        <v>392.28</v>
      </c>
      <c r="O44" s="1">
        <v>0.75029999999999997</v>
      </c>
    </row>
    <row r="45" spans="1:19" x14ac:dyDescent="0.3">
      <c r="A45" s="1" t="s">
        <v>4</v>
      </c>
      <c r="B45" s="1">
        <v>266.88</v>
      </c>
      <c r="C45" s="1">
        <v>340.02</v>
      </c>
      <c r="D45" s="1">
        <v>0.81769999999999998</v>
      </c>
      <c r="K45" s="22" t="s">
        <v>4</v>
      </c>
      <c r="L45" s="23"/>
      <c r="M45" s="1">
        <v>266.55</v>
      </c>
      <c r="N45" s="1">
        <v>343.9</v>
      </c>
      <c r="O45" s="1">
        <v>0.8135</v>
      </c>
    </row>
    <row r="46" spans="1:19" x14ac:dyDescent="0.3">
      <c r="A46" s="1" t="s">
        <v>5</v>
      </c>
      <c r="B46" s="1">
        <v>232.24</v>
      </c>
      <c r="C46" s="1">
        <v>306.29000000000002</v>
      </c>
      <c r="D46" s="1">
        <v>0.87590000000000001</v>
      </c>
      <c r="K46" s="22" t="s">
        <v>5</v>
      </c>
      <c r="L46" s="23"/>
      <c r="M46" s="1">
        <v>227.17</v>
      </c>
      <c r="N46" s="1">
        <v>301.81</v>
      </c>
      <c r="O46" s="1">
        <v>0.87960000000000005</v>
      </c>
    </row>
    <row r="47" spans="1:19" x14ac:dyDescent="0.3">
      <c r="A47" s="5" t="s">
        <v>17</v>
      </c>
      <c r="B47" s="5" t="s">
        <v>53</v>
      </c>
      <c r="C47" s="5" t="s">
        <v>54</v>
      </c>
      <c r="D47" s="5" t="s">
        <v>55</v>
      </c>
      <c r="K47" s="2" t="s">
        <v>17</v>
      </c>
      <c r="L47" s="3"/>
      <c r="M47" s="1" t="s">
        <v>31</v>
      </c>
      <c r="N47" s="1" t="s">
        <v>32</v>
      </c>
      <c r="O47" s="1" t="s">
        <v>33</v>
      </c>
    </row>
    <row r="48" spans="1:19" x14ac:dyDescent="0.3">
      <c r="A48" s="10" t="s">
        <v>8</v>
      </c>
      <c r="B48" s="10" t="s">
        <v>18</v>
      </c>
      <c r="C48" s="10" t="s">
        <v>19</v>
      </c>
      <c r="D48" s="10" t="s">
        <v>20</v>
      </c>
      <c r="E48" s="10" t="s">
        <v>21</v>
      </c>
      <c r="F48" s="10" t="s">
        <v>22</v>
      </c>
      <c r="G48" s="10" t="s">
        <v>23</v>
      </c>
      <c r="H48" s="10" t="s">
        <v>24</v>
      </c>
      <c r="K48" s="10" t="s">
        <v>8</v>
      </c>
      <c r="L48" s="10"/>
      <c r="M48" s="10" t="s">
        <v>18</v>
      </c>
      <c r="N48" s="10" t="s">
        <v>19</v>
      </c>
      <c r="O48" s="10" t="s">
        <v>20</v>
      </c>
      <c r="P48" s="10" t="s">
        <v>21</v>
      </c>
      <c r="Q48" s="10" t="s">
        <v>22</v>
      </c>
      <c r="R48" s="10" t="s">
        <v>23</v>
      </c>
      <c r="S48" s="10" t="s">
        <v>24</v>
      </c>
    </row>
    <row r="49" spans="1:19" x14ac:dyDescent="0.3">
      <c r="A49" s="1" t="s">
        <v>1</v>
      </c>
      <c r="B49" s="1">
        <v>0.52900000000000003</v>
      </c>
      <c r="C49" s="1">
        <v>0.52</v>
      </c>
      <c r="D49" s="1">
        <v>0.76500000000000001</v>
      </c>
      <c r="E49" s="1">
        <v>0.61899999999999999</v>
      </c>
      <c r="F49" s="1">
        <v>0.29399999999999998</v>
      </c>
      <c r="G49" s="1">
        <v>0.56399999999999995</v>
      </c>
      <c r="H49" s="1">
        <v>0.53</v>
      </c>
      <c r="K49" s="2" t="s">
        <v>1</v>
      </c>
      <c r="L49" s="3"/>
      <c r="M49" s="1">
        <v>0.41199999999999998</v>
      </c>
      <c r="N49" s="1">
        <v>0.33300000000000002</v>
      </c>
      <c r="O49" s="1">
        <v>0.17599999999999999</v>
      </c>
      <c r="P49" s="1">
        <v>0.23100000000000001</v>
      </c>
      <c r="Q49" s="1">
        <v>0.64700000000000002</v>
      </c>
      <c r="R49" s="1">
        <v>0.53300000000000003</v>
      </c>
      <c r="S49" s="1">
        <v>0.49199999999999999</v>
      </c>
    </row>
    <row r="50" spans="1:19" x14ac:dyDescent="0.3">
      <c r="A50" s="1" t="s">
        <v>2</v>
      </c>
      <c r="B50" s="1">
        <v>0.35299999999999998</v>
      </c>
      <c r="C50" s="1">
        <v>1</v>
      </c>
      <c r="D50" s="1">
        <v>4.2999999999999997E-2</v>
      </c>
      <c r="E50" s="1">
        <v>8.3000000000000004E-2</v>
      </c>
      <c r="F50" s="1">
        <v>1</v>
      </c>
      <c r="G50" s="1">
        <v>0.38300000000000001</v>
      </c>
      <c r="H50" s="1">
        <v>0.66800000000000004</v>
      </c>
      <c r="K50" s="2" t="s">
        <v>2</v>
      </c>
      <c r="L50" s="3"/>
      <c r="M50" s="1">
        <v>0.35299999999999998</v>
      </c>
      <c r="N50" s="1">
        <v>1</v>
      </c>
      <c r="O50" s="1">
        <v>4.2999999999999997E-2</v>
      </c>
      <c r="P50" s="1">
        <v>8.3000000000000004E-2</v>
      </c>
      <c r="Q50" s="1">
        <v>1</v>
      </c>
      <c r="R50" s="1">
        <v>0.372</v>
      </c>
      <c r="S50" s="1">
        <v>0.65100000000000002</v>
      </c>
    </row>
    <row r="51" spans="1:19" x14ac:dyDescent="0.3">
      <c r="A51" s="1" t="s">
        <v>3</v>
      </c>
      <c r="B51" s="1">
        <v>0.60599999999999998</v>
      </c>
      <c r="C51" s="1">
        <v>0.71399999999999997</v>
      </c>
      <c r="D51" s="1">
        <v>0.68200000000000005</v>
      </c>
      <c r="E51" s="1">
        <v>0.69799999999999995</v>
      </c>
      <c r="F51" s="1">
        <v>0.45500000000000002</v>
      </c>
      <c r="G51" s="1">
        <v>0.55400000000000005</v>
      </c>
      <c r="H51" s="1">
        <v>0.70299999999999996</v>
      </c>
      <c r="K51" s="2" t="s">
        <v>3</v>
      </c>
      <c r="L51" s="3"/>
      <c r="M51" s="1">
        <v>0.54500000000000004</v>
      </c>
      <c r="N51" s="1">
        <v>0.76900000000000002</v>
      </c>
      <c r="O51" s="1">
        <v>0.45500000000000002</v>
      </c>
      <c r="P51" s="1">
        <v>0.57099999999999995</v>
      </c>
      <c r="Q51" s="1">
        <v>0.72699999999999998</v>
      </c>
      <c r="R51" s="1">
        <v>0.58699999999999997</v>
      </c>
      <c r="S51" s="1">
        <v>0.73799999999999999</v>
      </c>
    </row>
    <row r="52" spans="1:19" x14ac:dyDescent="0.3">
      <c r="A52" s="1" t="s">
        <v>4</v>
      </c>
      <c r="B52" s="1">
        <v>0.63300000000000001</v>
      </c>
      <c r="C52" s="1">
        <v>1</v>
      </c>
      <c r="D52" s="1">
        <v>0.35299999999999998</v>
      </c>
      <c r="E52" s="1">
        <v>0.52200000000000002</v>
      </c>
      <c r="F52" s="1">
        <v>1</v>
      </c>
      <c r="G52" s="1">
        <v>0.69699999999999995</v>
      </c>
      <c r="H52" s="1">
        <v>0.81499999999999995</v>
      </c>
      <c r="K52" s="2" t="s">
        <v>4</v>
      </c>
      <c r="L52" s="3"/>
      <c r="M52" s="1">
        <v>0.5</v>
      </c>
      <c r="N52" s="1">
        <v>1</v>
      </c>
      <c r="O52" s="1">
        <v>0.11799999999999999</v>
      </c>
      <c r="P52" s="1">
        <v>0.21099999999999999</v>
      </c>
      <c r="Q52" s="1">
        <v>1</v>
      </c>
      <c r="R52" s="1">
        <v>0.72899999999999998</v>
      </c>
      <c r="S52" s="1">
        <v>0.80400000000000005</v>
      </c>
    </row>
    <row r="53" spans="1:19" x14ac:dyDescent="0.3">
      <c r="A53" s="1" t="s">
        <v>5</v>
      </c>
      <c r="B53" s="1">
        <v>0.55900000000000005</v>
      </c>
      <c r="C53" s="1">
        <v>0.57099999999999995</v>
      </c>
      <c r="D53" s="1">
        <v>0.47099999999999997</v>
      </c>
      <c r="E53" s="1">
        <v>0.51600000000000001</v>
      </c>
      <c r="F53" s="1">
        <v>0.64700000000000002</v>
      </c>
      <c r="G53" s="1">
        <v>0.50900000000000001</v>
      </c>
      <c r="H53" s="1">
        <v>0.53500000000000003</v>
      </c>
      <c r="K53" s="2" t="s">
        <v>5</v>
      </c>
      <c r="L53" s="3"/>
      <c r="M53" s="1">
        <v>0.55900000000000005</v>
      </c>
      <c r="N53" s="1">
        <v>0.58299999999999996</v>
      </c>
      <c r="O53" s="1">
        <v>0.41199999999999998</v>
      </c>
      <c r="P53" s="1">
        <v>0.48299999999999998</v>
      </c>
      <c r="Q53" s="1">
        <v>0.70599999999999996</v>
      </c>
      <c r="R53" s="1">
        <v>0.50700000000000001</v>
      </c>
      <c r="S53" s="1">
        <v>0.54100000000000004</v>
      </c>
    </row>
    <row r="54" spans="1:19" x14ac:dyDescent="0.3">
      <c r="A54" s="1" t="s">
        <v>17</v>
      </c>
      <c r="B54" s="1" t="s">
        <v>56</v>
      </c>
      <c r="C54" s="1" t="s">
        <v>57</v>
      </c>
      <c r="D54" s="1" t="s">
        <v>58</v>
      </c>
      <c r="E54" s="1" t="s">
        <v>59</v>
      </c>
      <c r="F54" s="1" t="s">
        <v>60</v>
      </c>
      <c r="G54" s="1" t="s">
        <v>61</v>
      </c>
      <c r="H54" s="1" t="s">
        <v>62</v>
      </c>
      <c r="K54" s="2" t="s">
        <v>17</v>
      </c>
      <c r="L54" s="3"/>
      <c r="M54" s="1" t="s">
        <v>35</v>
      </c>
      <c r="N54" s="1" t="s">
        <v>36</v>
      </c>
      <c r="O54" s="1" t="s">
        <v>37</v>
      </c>
      <c r="P54" s="1" t="s">
        <v>38</v>
      </c>
      <c r="Q54" s="1" t="s">
        <v>39</v>
      </c>
      <c r="R54" s="1" t="s">
        <v>40</v>
      </c>
      <c r="S54" s="1" t="s">
        <v>41</v>
      </c>
    </row>
    <row r="57" spans="1:19" x14ac:dyDescent="0.3">
      <c r="A57" s="21" t="s">
        <v>65</v>
      </c>
      <c r="B57" s="21"/>
      <c r="C57" s="21"/>
      <c r="D57" s="21"/>
      <c r="E57" s="21"/>
      <c r="F57" s="21"/>
      <c r="G57" s="21"/>
      <c r="K57" s="21" t="s">
        <v>70</v>
      </c>
      <c r="L57" s="21"/>
      <c r="M57" s="21"/>
      <c r="N57" s="21"/>
      <c r="O57" s="21"/>
      <c r="P57" s="21"/>
      <c r="Q57" s="21"/>
      <c r="S57" s="4"/>
    </row>
    <row r="58" spans="1:19" x14ac:dyDescent="0.3">
      <c r="A58" s="10" t="s">
        <v>0</v>
      </c>
      <c r="B58" s="10" t="s">
        <v>25</v>
      </c>
      <c r="C58" s="10" t="s">
        <v>26</v>
      </c>
      <c r="D58" s="10" t="s">
        <v>12</v>
      </c>
      <c r="E58" s="10" t="s">
        <v>14</v>
      </c>
      <c r="F58" s="10" t="s">
        <v>13</v>
      </c>
      <c r="K58" s="10" t="s">
        <v>0</v>
      </c>
      <c r="L58" s="10" t="s">
        <v>25</v>
      </c>
      <c r="M58" s="10" t="s">
        <v>26</v>
      </c>
      <c r="N58" s="10" t="s">
        <v>12</v>
      </c>
      <c r="O58" s="10" t="s">
        <v>14</v>
      </c>
      <c r="P58" s="10" t="s">
        <v>13</v>
      </c>
    </row>
    <row r="59" spans="1:19" x14ac:dyDescent="0.3">
      <c r="A59" s="1" t="s">
        <v>1</v>
      </c>
      <c r="B59" s="1">
        <v>-7.74</v>
      </c>
      <c r="C59" s="1">
        <v>-3.33</v>
      </c>
      <c r="D59" s="1">
        <v>-5.36</v>
      </c>
      <c r="E59" s="1">
        <v>1.08</v>
      </c>
      <c r="F59" s="1">
        <v>-5.33</v>
      </c>
      <c r="K59" s="1" t="s">
        <v>1</v>
      </c>
      <c r="L59" s="1">
        <v>-5.31</v>
      </c>
      <c r="M59" s="1">
        <v>-4</v>
      </c>
      <c r="N59" s="1">
        <v>-4.5</v>
      </c>
      <c r="O59" s="1">
        <v>0.27</v>
      </c>
      <c r="P59" s="1">
        <v>-4.49</v>
      </c>
    </row>
    <row r="60" spans="1:19" x14ac:dyDescent="0.3">
      <c r="A60" s="1" t="s">
        <v>2</v>
      </c>
      <c r="B60" s="1">
        <v>-4.8</v>
      </c>
      <c r="C60" s="1">
        <v>-2.17</v>
      </c>
      <c r="D60" s="1">
        <v>-4.4800000000000004</v>
      </c>
      <c r="E60" s="1">
        <v>0.54</v>
      </c>
      <c r="F60" s="1">
        <v>-3.48</v>
      </c>
      <c r="K60" s="1" t="s">
        <v>2</v>
      </c>
      <c r="L60" s="1">
        <v>-3.35</v>
      </c>
      <c r="M60" s="1">
        <v>-2.1</v>
      </c>
      <c r="N60" s="1">
        <v>-2.89</v>
      </c>
      <c r="O60" s="1">
        <v>0.28999999999999998</v>
      </c>
      <c r="P60" s="1">
        <v>-2.94</v>
      </c>
    </row>
    <row r="61" spans="1:19" x14ac:dyDescent="0.3">
      <c r="A61" s="1" t="s">
        <v>3</v>
      </c>
      <c r="B61" s="1">
        <v>-7.06</v>
      </c>
      <c r="C61" s="1">
        <v>-3.35</v>
      </c>
      <c r="D61" s="1">
        <v>-4.8</v>
      </c>
      <c r="E61" s="1">
        <v>0.92</v>
      </c>
      <c r="F61" s="1">
        <v>-4.74</v>
      </c>
      <c r="K61" s="1" t="s">
        <v>3</v>
      </c>
      <c r="L61" s="1">
        <v>-5.75</v>
      </c>
      <c r="M61" s="1">
        <v>-5.43</v>
      </c>
      <c r="N61" s="1">
        <v>-5.62</v>
      </c>
      <c r="O61" s="1">
        <v>7.0000000000000007E-2</v>
      </c>
      <c r="P61" s="1">
        <v>-5.61</v>
      </c>
    </row>
    <row r="62" spans="1:19" x14ac:dyDescent="0.3">
      <c r="A62" s="1" t="s">
        <v>4</v>
      </c>
      <c r="B62" s="1">
        <v>-7.96</v>
      </c>
      <c r="C62" s="1">
        <v>-2.08</v>
      </c>
      <c r="D62" s="1">
        <v>-4.32</v>
      </c>
      <c r="E62" s="1">
        <v>1.38</v>
      </c>
      <c r="F62" s="1">
        <v>-4.1900000000000004</v>
      </c>
      <c r="K62" s="1" t="s">
        <v>4</v>
      </c>
      <c r="L62" s="1">
        <v>-5.73</v>
      </c>
      <c r="M62" s="1">
        <v>-3.64</v>
      </c>
      <c r="N62" s="1">
        <v>-4.43</v>
      </c>
      <c r="O62" s="1">
        <v>0.47</v>
      </c>
      <c r="P62" s="1">
        <v>-4.29</v>
      </c>
    </row>
    <row r="63" spans="1:19" x14ac:dyDescent="0.3">
      <c r="A63" s="1" t="s">
        <v>5</v>
      </c>
      <c r="B63" s="1">
        <v>-6.32</v>
      </c>
      <c r="C63" s="1">
        <v>-3.54</v>
      </c>
      <c r="D63" s="1">
        <v>-5.0199999999999996</v>
      </c>
      <c r="E63" s="1">
        <v>0.69</v>
      </c>
      <c r="F63" s="1">
        <v>-5.0999999999999996</v>
      </c>
      <c r="K63" s="1" t="s">
        <v>5</v>
      </c>
      <c r="L63" s="1">
        <v>-5.09</v>
      </c>
      <c r="M63" s="1">
        <v>-4.03</v>
      </c>
      <c r="N63" s="1">
        <v>-4.42</v>
      </c>
      <c r="O63" s="1">
        <v>0.24</v>
      </c>
      <c r="P63" s="1">
        <v>-4.3600000000000003</v>
      </c>
    </row>
    <row r="64" spans="1:19" x14ac:dyDescent="0.3">
      <c r="A64" s="1" t="s">
        <v>34</v>
      </c>
      <c r="B64" s="1">
        <v>-7.96</v>
      </c>
      <c r="C64" s="1">
        <v>-2.08</v>
      </c>
      <c r="D64" s="1">
        <v>-4.5999999999999996</v>
      </c>
      <c r="E64" s="1">
        <f>AVERAGE(E59:E63)</f>
        <v>0.92199999999999993</v>
      </c>
      <c r="F64" s="1">
        <v>-4.57</v>
      </c>
      <c r="K64" s="1" t="s">
        <v>52</v>
      </c>
      <c r="L64" s="1">
        <v>-5.75</v>
      </c>
      <c r="M64" s="1">
        <v>-2.1</v>
      </c>
      <c r="N64" s="1">
        <f>AVERAGE(N59:N63)</f>
        <v>-4.3719999999999999</v>
      </c>
      <c r="O64" s="13">
        <f>AVERAGE(O59:O63)</f>
        <v>0.26800000000000002</v>
      </c>
      <c r="P64" s="1">
        <v>-4.38</v>
      </c>
    </row>
    <row r="65" spans="1:18" x14ac:dyDescent="0.3">
      <c r="A65" s="10" t="s">
        <v>7</v>
      </c>
      <c r="B65" s="10" t="s">
        <v>9</v>
      </c>
      <c r="C65" s="10" t="s">
        <v>10</v>
      </c>
      <c r="D65" s="10" t="s">
        <v>11</v>
      </c>
      <c r="K65" s="10" t="s">
        <v>7</v>
      </c>
      <c r="L65" s="10" t="s">
        <v>9</v>
      </c>
      <c r="M65" s="10" t="s">
        <v>10</v>
      </c>
      <c r="N65" s="10" t="s">
        <v>11</v>
      </c>
    </row>
    <row r="66" spans="1:18" x14ac:dyDescent="0.3">
      <c r="A66" s="1" t="s">
        <v>1</v>
      </c>
      <c r="B66" s="1">
        <v>278.81</v>
      </c>
      <c r="C66" s="1">
        <v>367.05</v>
      </c>
      <c r="D66" s="1">
        <v>0.78820000000000001</v>
      </c>
      <c r="K66" s="1" t="s">
        <v>1</v>
      </c>
      <c r="L66" s="1">
        <v>258.64</v>
      </c>
      <c r="M66" s="1">
        <v>356.04</v>
      </c>
      <c r="N66" s="1">
        <v>0.80069999999999997</v>
      </c>
    </row>
    <row r="67" spans="1:18" x14ac:dyDescent="0.3">
      <c r="A67" s="1" t="s">
        <v>2</v>
      </c>
      <c r="B67" s="1">
        <v>195.24</v>
      </c>
      <c r="C67" s="1">
        <v>269.94</v>
      </c>
      <c r="D67" s="1">
        <v>0.91410000000000002</v>
      </c>
      <c r="K67" s="1" t="s">
        <v>2</v>
      </c>
      <c r="L67" s="1">
        <v>196.88</v>
      </c>
      <c r="M67" s="1">
        <v>271.58999999999997</v>
      </c>
      <c r="N67" s="1">
        <v>0.91300000000000003</v>
      </c>
    </row>
    <row r="68" spans="1:18" x14ac:dyDescent="0.3">
      <c r="A68" s="1" t="s">
        <v>3</v>
      </c>
      <c r="B68" s="1">
        <v>279.66000000000003</v>
      </c>
      <c r="C68" s="1">
        <v>394.92</v>
      </c>
      <c r="D68" s="1">
        <v>0.747</v>
      </c>
      <c r="K68" s="1" t="s">
        <v>3</v>
      </c>
      <c r="L68" s="1">
        <v>311.2</v>
      </c>
      <c r="M68" s="1">
        <v>410.73</v>
      </c>
      <c r="N68" s="1">
        <v>0.72629999999999995</v>
      </c>
    </row>
    <row r="69" spans="1:18" x14ac:dyDescent="0.3">
      <c r="A69" s="1" t="s">
        <v>4</v>
      </c>
      <c r="B69" s="1">
        <v>253.94</v>
      </c>
      <c r="C69" s="1">
        <v>322.87</v>
      </c>
      <c r="D69" s="1">
        <v>0.83560000000000001</v>
      </c>
      <c r="K69" s="1" t="s">
        <v>4</v>
      </c>
      <c r="L69" s="1">
        <v>249.4</v>
      </c>
      <c r="M69" s="1">
        <v>329.21</v>
      </c>
      <c r="N69" s="1">
        <v>0.82909999999999995</v>
      </c>
    </row>
    <row r="70" spans="1:18" x14ac:dyDescent="0.3">
      <c r="A70" s="1" t="s">
        <v>5</v>
      </c>
      <c r="B70" s="1">
        <v>233.74</v>
      </c>
      <c r="C70" s="1">
        <v>303.45</v>
      </c>
      <c r="D70" s="1">
        <v>0.87819999999999998</v>
      </c>
      <c r="K70" s="1" t="s">
        <v>5</v>
      </c>
      <c r="L70" s="1">
        <v>229.17</v>
      </c>
      <c r="M70" s="1">
        <v>306.25</v>
      </c>
      <c r="N70" s="1">
        <v>0.876</v>
      </c>
    </row>
    <row r="71" spans="1:18" x14ac:dyDescent="0.3">
      <c r="A71" s="1" t="s">
        <v>17</v>
      </c>
      <c r="B71" s="1" t="s">
        <v>42</v>
      </c>
      <c r="C71" s="1" t="s">
        <v>43</v>
      </c>
      <c r="D71" s="1" t="s">
        <v>44</v>
      </c>
      <c r="K71" s="5" t="s">
        <v>17</v>
      </c>
      <c r="L71" s="5" t="s">
        <v>71</v>
      </c>
      <c r="M71" s="5" t="s">
        <v>72</v>
      </c>
      <c r="N71" s="5" t="s">
        <v>73</v>
      </c>
    </row>
    <row r="72" spans="1:18" x14ac:dyDescent="0.3">
      <c r="A72" s="10" t="s">
        <v>8</v>
      </c>
      <c r="B72" s="10" t="s">
        <v>18</v>
      </c>
      <c r="C72" s="10" t="s">
        <v>19</v>
      </c>
      <c r="D72" s="10" t="s">
        <v>20</v>
      </c>
      <c r="E72" s="10" t="s">
        <v>21</v>
      </c>
      <c r="F72" s="10" t="s">
        <v>22</v>
      </c>
      <c r="G72" s="10" t="s">
        <v>23</v>
      </c>
      <c r="H72" s="10" t="s">
        <v>24</v>
      </c>
      <c r="K72" s="10" t="s">
        <v>8</v>
      </c>
      <c r="L72" s="10" t="s">
        <v>18</v>
      </c>
      <c r="M72" s="10" t="s">
        <v>19</v>
      </c>
      <c r="N72" s="10" t="s">
        <v>20</v>
      </c>
      <c r="O72" s="10" t="s">
        <v>21</v>
      </c>
      <c r="P72" s="10" t="s">
        <v>22</v>
      </c>
      <c r="Q72" s="10" t="s">
        <v>23</v>
      </c>
      <c r="R72" s="10" t="s">
        <v>24</v>
      </c>
    </row>
    <row r="73" spans="1:18" x14ac:dyDescent="0.3">
      <c r="A73" s="1" t="s">
        <v>1</v>
      </c>
      <c r="B73" s="1">
        <v>0.5</v>
      </c>
      <c r="C73" s="1">
        <v>0.5</v>
      </c>
      <c r="D73" s="1">
        <v>0.58799999999999997</v>
      </c>
      <c r="E73" s="1">
        <v>0.54100000000000004</v>
      </c>
      <c r="F73" s="1">
        <v>0.41199999999999998</v>
      </c>
      <c r="G73" s="1">
        <v>0.56399999999999995</v>
      </c>
      <c r="H73" s="1">
        <v>0.52500000000000002</v>
      </c>
      <c r="K73" s="1" t="s">
        <v>1</v>
      </c>
      <c r="L73" s="1">
        <v>0.47099999999999997</v>
      </c>
      <c r="M73" s="1">
        <v>0.45500000000000002</v>
      </c>
      <c r="N73" s="1">
        <v>0.39400000000000002</v>
      </c>
      <c r="O73" s="1">
        <v>0.35699999999999998</v>
      </c>
      <c r="P73" s="1">
        <v>0.64700000000000002</v>
      </c>
      <c r="Q73" s="1">
        <v>0.53300000000000003</v>
      </c>
      <c r="R73" s="1">
        <v>0.50900000000000001</v>
      </c>
    </row>
    <row r="74" spans="1:18" x14ac:dyDescent="0.3">
      <c r="A74" s="1" t="s">
        <v>2</v>
      </c>
      <c r="B74" s="1">
        <v>0.38200000000000001</v>
      </c>
      <c r="C74" s="1">
        <v>0.75</v>
      </c>
      <c r="D74" s="1">
        <v>0.13</v>
      </c>
      <c r="E74" s="1">
        <v>0.222</v>
      </c>
      <c r="F74" s="1">
        <v>0.90900000000000003</v>
      </c>
      <c r="G74" s="1">
        <v>0.496</v>
      </c>
      <c r="H74" s="1">
        <v>0.70599999999999996</v>
      </c>
      <c r="K74" s="1" t="s">
        <v>2</v>
      </c>
      <c r="L74" s="1">
        <v>0.35299999999999998</v>
      </c>
      <c r="M74" s="1">
        <v>0.66700000000000004</v>
      </c>
      <c r="N74" s="1">
        <v>8.6999999999999994E-2</v>
      </c>
      <c r="O74" s="1">
        <v>0.154</v>
      </c>
      <c r="P74" s="1">
        <v>0.90900000000000003</v>
      </c>
      <c r="Q74" s="1">
        <v>0.443</v>
      </c>
      <c r="R74" s="1">
        <v>0.66600000000000004</v>
      </c>
    </row>
    <row r="75" spans="1:18" x14ac:dyDescent="0.3">
      <c r="A75" s="1" t="s">
        <v>3</v>
      </c>
      <c r="B75" s="1">
        <v>0.51500000000000001</v>
      </c>
      <c r="C75" s="1">
        <v>0.71399999999999997</v>
      </c>
      <c r="D75" s="1">
        <v>0.45500000000000002</v>
      </c>
      <c r="E75" s="1">
        <v>0.55600000000000005</v>
      </c>
      <c r="F75" s="1">
        <v>0.63600000000000001</v>
      </c>
      <c r="G75" s="1">
        <v>0.60299999999999998</v>
      </c>
      <c r="H75" s="1">
        <v>0.72599999999999998</v>
      </c>
      <c r="K75" s="1" t="s">
        <v>3</v>
      </c>
      <c r="L75" s="1">
        <v>0.63600000000000001</v>
      </c>
      <c r="M75" s="1">
        <v>0.75</v>
      </c>
      <c r="N75" s="1">
        <v>0.68200000000000005</v>
      </c>
      <c r="O75" s="1">
        <v>0.71399999999999997</v>
      </c>
      <c r="P75" s="1">
        <v>0.54500000000000004</v>
      </c>
      <c r="Q75" s="1">
        <v>0.57599999999999996</v>
      </c>
      <c r="R75" s="1">
        <v>0.72599999999999998</v>
      </c>
    </row>
    <row r="76" spans="1:18" x14ac:dyDescent="0.3">
      <c r="A76" s="1" t="s">
        <v>4</v>
      </c>
      <c r="B76" s="1">
        <v>0.6</v>
      </c>
      <c r="C76" s="1">
        <v>0.85699999999999998</v>
      </c>
      <c r="D76" s="1">
        <v>0.35299999999999998</v>
      </c>
      <c r="E76" s="1">
        <v>0.5</v>
      </c>
      <c r="F76" s="1">
        <v>0.92300000000000004</v>
      </c>
      <c r="G76" s="1">
        <v>0.73299999999999998</v>
      </c>
      <c r="H76" s="1">
        <v>0.79100000000000004</v>
      </c>
      <c r="K76" s="1" t="s">
        <v>4</v>
      </c>
      <c r="L76" s="1">
        <v>0.56699999999999995</v>
      </c>
      <c r="M76" s="1">
        <v>1</v>
      </c>
      <c r="N76" s="1">
        <v>0.23499999999999999</v>
      </c>
      <c r="O76" s="1">
        <v>0.38100000000000001</v>
      </c>
      <c r="P76" s="1">
        <v>1</v>
      </c>
      <c r="Q76" s="1">
        <v>0.76900000000000002</v>
      </c>
      <c r="R76" s="1">
        <v>0.85799999999999998</v>
      </c>
    </row>
    <row r="77" spans="1:18" x14ac:dyDescent="0.3">
      <c r="A77" s="1" t="s">
        <v>5</v>
      </c>
      <c r="B77" s="1">
        <v>0.52900000000000003</v>
      </c>
      <c r="C77" s="1">
        <v>0.53300000000000003</v>
      </c>
      <c r="D77" s="1">
        <v>0.47099999999999997</v>
      </c>
      <c r="E77" s="1">
        <v>0.5</v>
      </c>
      <c r="F77" s="1">
        <v>0.58799999999999997</v>
      </c>
      <c r="G77" s="1">
        <v>0.502</v>
      </c>
      <c r="H77" s="1">
        <v>0.51800000000000002</v>
      </c>
      <c r="K77" s="1" t="s">
        <v>5</v>
      </c>
      <c r="L77" s="1">
        <v>0.55900000000000005</v>
      </c>
      <c r="M77" s="1">
        <v>0.58299999999999996</v>
      </c>
      <c r="N77" s="1">
        <v>0.41199999999999998</v>
      </c>
      <c r="O77" s="1">
        <v>0.48299999999999998</v>
      </c>
      <c r="P77" s="1">
        <v>0.70599999999999996</v>
      </c>
      <c r="Q77" s="1">
        <v>0.47899999999999998</v>
      </c>
      <c r="R77" s="1">
        <v>0.53</v>
      </c>
    </row>
    <row r="78" spans="1:18" x14ac:dyDescent="0.3">
      <c r="A78" s="1" t="s">
        <v>17</v>
      </c>
      <c r="B78" s="1" t="s">
        <v>45</v>
      </c>
      <c r="C78" s="1" t="s">
        <v>46</v>
      </c>
      <c r="D78" s="1" t="s">
        <v>47</v>
      </c>
      <c r="E78" s="1" t="s">
        <v>48</v>
      </c>
      <c r="F78" s="1" t="s">
        <v>49</v>
      </c>
      <c r="G78" s="1" t="s">
        <v>50</v>
      </c>
      <c r="H78" s="1" t="s">
        <v>51</v>
      </c>
      <c r="K78" s="1" t="s">
        <v>17</v>
      </c>
      <c r="L78" s="1" t="s">
        <v>74</v>
      </c>
      <c r="M78" s="1" t="s">
        <v>75</v>
      </c>
      <c r="N78" s="1" t="s">
        <v>76</v>
      </c>
      <c r="O78" s="1" t="s">
        <v>77</v>
      </c>
      <c r="P78" s="1" t="s">
        <v>78</v>
      </c>
      <c r="Q78" s="1" t="s">
        <v>79</v>
      </c>
      <c r="R78" s="1" t="s">
        <v>80</v>
      </c>
    </row>
    <row r="82" spans="1:7" x14ac:dyDescent="0.3">
      <c r="A82" s="21" t="s">
        <v>83</v>
      </c>
      <c r="B82" s="21"/>
      <c r="C82" s="21"/>
      <c r="D82" s="21"/>
      <c r="E82" s="21"/>
      <c r="F82" s="21"/>
      <c r="G82" s="21"/>
    </row>
    <row r="83" spans="1:7" x14ac:dyDescent="0.3">
      <c r="A83" s="10" t="s">
        <v>0</v>
      </c>
      <c r="B83" s="10" t="s">
        <v>25</v>
      </c>
      <c r="C83" s="10" t="s">
        <v>26</v>
      </c>
      <c r="D83" s="10" t="s">
        <v>12</v>
      </c>
      <c r="E83" s="10" t="s">
        <v>14</v>
      </c>
      <c r="F83" s="10" t="s">
        <v>13</v>
      </c>
    </row>
    <row r="84" spans="1:7" x14ac:dyDescent="0.3">
      <c r="A84" s="1" t="s">
        <v>1</v>
      </c>
      <c r="B84" s="1">
        <v>-5.0999999999999996</v>
      </c>
      <c r="C84" s="1">
        <v>-4.8600000000000003</v>
      </c>
      <c r="D84" s="1">
        <v>-5.05</v>
      </c>
      <c r="E84" s="1">
        <v>0.05</v>
      </c>
      <c r="F84" s="1">
        <v>-5.0599999999999996</v>
      </c>
    </row>
    <row r="85" spans="1:7" x14ac:dyDescent="0.3">
      <c r="A85" s="1" t="s">
        <v>2</v>
      </c>
      <c r="B85" s="1">
        <v>-3.03</v>
      </c>
      <c r="C85" s="1">
        <v>-2.79</v>
      </c>
      <c r="D85" s="1">
        <v>-2.91</v>
      </c>
      <c r="E85" s="1">
        <v>0.05</v>
      </c>
      <c r="F85" s="1">
        <v>-2.91</v>
      </c>
    </row>
    <row r="86" spans="1:7" x14ac:dyDescent="0.3">
      <c r="A86" s="1" t="s">
        <v>3</v>
      </c>
      <c r="B86" s="1">
        <v>-6.16</v>
      </c>
      <c r="C86" s="1">
        <v>-2.52</v>
      </c>
      <c r="D86" s="1">
        <v>-5.42</v>
      </c>
      <c r="E86" s="1">
        <v>1.02</v>
      </c>
      <c r="F86" s="1">
        <v>-6.06</v>
      </c>
    </row>
    <row r="87" spans="1:7" x14ac:dyDescent="0.3">
      <c r="A87" s="1" t="s">
        <v>4</v>
      </c>
      <c r="B87" s="1">
        <v>-4.82</v>
      </c>
      <c r="C87" s="1">
        <v>-2.86</v>
      </c>
      <c r="D87" s="1">
        <v>-4.3899999999999997</v>
      </c>
      <c r="E87" s="1">
        <v>0.52</v>
      </c>
      <c r="F87" s="1">
        <v>-4.63</v>
      </c>
    </row>
    <row r="88" spans="1:7" x14ac:dyDescent="0.3">
      <c r="A88" s="1" t="s">
        <v>5</v>
      </c>
      <c r="B88" s="1">
        <v>-4.75</v>
      </c>
      <c r="C88" s="1">
        <v>-4.54</v>
      </c>
      <c r="D88" s="1">
        <v>-4.68</v>
      </c>
      <c r="E88" s="1">
        <v>7.0000000000000007E-2</v>
      </c>
      <c r="F88" s="1">
        <v>-4.71</v>
      </c>
    </row>
    <row r="89" spans="1:7" x14ac:dyDescent="0.3">
      <c r="A89" s="1" t="s">
        <v>34</v>
      </c>
      <c r="B89" s="1">
        <v>-6.16</v>
      </c>
      <c r="C89" s="1">
        <v>-2.52</v>
      </c>
      <c r="D89" s="1">
        <v>-4.49</v>
      </c>
      <c r="E89" s="1">
        <f>AVERAGE(E84:E88)</f>
        <v>0.34200000000000003</v>
      </c>
      <c r="F89" s="1">
        <f>-4.72</f>
        <v>-4.72</v>
      </c>
    </row>
    <row r="90" spans="1:7" x14ac:dyDescent="0.3">
      <c r="A90" s="10" t="s">
        <v>7</v>
      </c>
      <c r="B90" s="10" t="s">
        <v>9</v>
      </c>
      <c r="C90" s="10" t="s">
        <v>10</v>
      </c>
      <c r="D90" s="10" t="s">
        <v>11</v>
      </c>
    </row>
    <row r="91" spans="1:7" x14ac:dyDescent="0.3">
      <c r="A91" s="1" t="s">
        <v>1</v>
      </c>
      <c r="B91" s="1">
        <v>270.68</v>
      </c>
      <c r="C91" s="1">
        <v>362.79</v>
      </c>
      <c r="D91" s="1">
        <v>0.79310000000000003</v>
      </c>
    </row>
    <row r="92" spans="1:7" x14ac:dyDescent="0.3">
      <c r="A92" s="1" t="s">
        <v>2</v>
      </c>
      <c r="B92" s="1">
        <v>197.04</v>
      </c>
      <c r="C92" s="1">
        <v>270.07</v>
      </c>
      <c r="D92" s="1">
        <v>0.91400000000000003</v>
      </c>
    </row>
    <row r="93" spans="1:7" x14ac:dyDescent="0.3">
      <c r="A93" s="1" t="s">
        <v>3</v>
      </c>
      <c r="B93" s="1">
        <v>291.31</v>
      </c>
      <c r="C93" s="1">
        <v>401.45</v>
      </c>
      <c r="D93" s="1">
        <v>0.73850000000000005</v>
      </c>
    </row>
    <row r="94" spans="1:7" x14ac:dyDescent="0.3">
      <c r="A94" s="1" t="s">
        <v>4</v>
      </c>
      <c r="B94" s="1">
        <v>256.77999999999997</v>
      </c>
      <c r="C94" s="1">
        <v>330.38</v>
      </c>
      <c r="D94" s="1">
        <v>0.82789999999999997</v>
      </c>
    </row>
    <row r="95" spans="1:7" x14ac:dyDescent="0.3">
      <c r="A95" s="1" t="s">
        <v>5</v>
      </c>
      <c r="B95" s="1">
        <v>230.49</v>
      </c>
      <c r="C95" s="1">
        <v>304.95999999999998</v>
      </c>
      <c r="D95" s="1">
        <v>0.877</v>
      </c>
    </row>
    <row r="96" spans="1:7" x14ac:dyDescent="0.3">
      <c r="A96" s="1" t="s">
        <v>17</v>
      </c>
      <c r="B96" s="1" t="s">
        <v>84</v>
      </c>
      <c r="C96" s="1" t="s">
        <v>85</v>
      </c>
      <c r="D96" s="1" t="s">
        <v>86</v>
      </c>
    </row>
    <row r="97" spans="1:8" x14ac:dyDescent="0.3">
      <c r="A97" s="10" t="s">
        <v>8</v>
      </c>
      <c r="B97" s="10" t="s">
        <v>18</v>
      </c>
      <c r="C97" s="10" t="s">
        <v>19</v>
      </c>
      <c r="D97" s="10" t="s">
        <v>20</v>
      </c>
      <c r="E97" s="10" t="s">
        <v>21</v>
      </c>
      <c r="F97" s="10" t="s">
        <v>22</v>
      </c>
      <c r="G97" s="10" t="s">
        <v>23</v>
      </c>
      <c r="H97" s="10" t="s">
        <v>24</v>
      </c>
    </row>
    <row r="98" spans="1:8" x14ac:dyDescent="0.3">
      <c r="A98" s="1" t="s">
        <v>1</v>
      </c>
      <c r="B98" s="1">
        <v>0.52900000000000003</v>
      </c>
      <c r="C98" s="1">
        <v>0.52900000000000003</v>
      </c>
      <c r="D98" s="1">
        <v>0.52900000000000003</v>
      </c>
      <c r="E98" s="1">
        <v>0.52900000000000003</v>
      </c>
      <c r="F98" s="1">
        <v>0.52900000000000003</v>
      </c>
      <c r="G98" s="1">
        <v>0.57399999999999995</v>
      </c>
      <c r="H98" s="1">
        <v>0.54</v>
      </c>
    </row>
    <row r="99" spans="1:8" x14ac:dyDescent="0.3">
      <c r="A99" s="1" t="s">
        <v>2</v>
      </c>
      <c r="B99" s="1">
        <v>0.35299999999999998</v>
      </c>
      <c r="C99" s="1">
        <v>1</v>
      </c>
      <c r="D99" s="1">
        <v>4.2999999999999997E-2</v>
      </c>
      <c r="E99" s="1">
        <v>8.3000000000000004E-2</v>
      </c>
      <c r="F99" s="1">
        <v>1</v>
      </c>
      <c r="G99" s="1">
        <v>0.38300000000000001</v>
      </c>
      <c r="H99" s="1">
        <v>0.67100000000000004</v>
      </c>
    </row>
    <row r="100" spans="1:8" x14ac:dyDescent="0.3">
      <c r="A100" s="1" t="s">
        <v>3</v>
      </c>
      <c r="B100" s="1">
        <v>0.54500000000000004</v>
      </c>
      <c r="C100" s="1">
        <v>0.70599999999999996</v>
      </c>
      <c r="D100" s="1">
        <v>0.54500000000000004</v>
      </c>
      <c r="E100" s="1">
        <v>0.61499999999999999</v>
      </c>
      <c r="F100" s="1">
        <v>0.54500000000000004</v>
      </c>
      <c r="G100" s="1">
        <v>0.49199999999999999</v>
      </c>
      <c r="H100" s="1">
        <v>0.68200000000000005</v>
      </c>
    </row>
    <row r="101" spans="1:8" x14ac:dyDescent="0.3">
      <c r="A101" s="1" t="s">
        <v>4</v>
      </c>
      <c r="B101" s="1">
        <v>0.56699999999999995</v>
      </c>
      <c r="C101" s="1">
        <v>1</v>
      </c>
      <c r="D101" s="1">
        <v>0.23499999999999999</v>
      </c>
      <c r="E101" s="1">
        <v>0.38100000000000001</v>
      </c>
      <c r="F101" s="1">
        <v>1</v>
      </c>
      <c r="G101" s="1">
        <v>0.78700000000000003</v>
      </c>
      <c r="H101" s="1">
        <v>0.85</v>
      </c>
    </row>
    <row r="102" spans="1:8" x14ac:dyDescent="0.3">
      <c r="A102" s="1" t="s">
        <v>5</v>
      </c>
      <c r="B102" s="1">
        <v>0.58799999999999997</v>
      </c>
      <c r="C102" s="1">
        <v>0.61499999999999999</v>
      </c>
      <c r="D102" s="1">
        <v>0.47099999999999997</v>
      </c>
      <c r="E102" s="1">
        <v>0.53300000000000003</v>
      </c>
      <c r="F102" s="1">
        <v>0.70599999999999996</v>
      </c>
      <c r="G102" s="1">
        <v>0.49099999999999999</v>
      </c>
      <c r="H102" s="1">
        <v>0.54600000000000004</v>
      </c>
    </row>
    <row r="103" spans="1:8" x14ac:dyDescent="0.3">
      <c r="A103" s="1" t="s">
        <v>17</v>
      </c>
      <c r="B103" s="1" t="s">
        <v>87</v>
      </c>
      <c r="C103" s="1" t="s">
        <v>88</v>
      </c>
      <c r="D103" s="1" t="s">
        <v>89</v>
      </c>
      <c r="E103" s="1" t="s">
        <v>90</v>
      </c>
      <c r="F103" s="1" t="s">
        <v>91</v>
      </c>
      <c r="G103" s="1" t="s">
        <v>92</v>
      </c>
      <c r="H103" s="1" t="s">
        <v>93</v>
      </c>
    </row>
  </sheetData>
  <mergeCells count="21">
    <mergeCell ref="A24:I24"/>
    <mergeCell ref="K43:L43"/>
    <mergeCell ref="K44:L44"/>
    <mergeCell ref="K45:L45"/>
    <mergeCell ref="K46:L46"/>
    <mergeCell ref="A3:F3"/>
    <mergeCell ref="A7:F7"/>
    <mergeCell ref="A11:F11"/>
    <mergeCell ref="A15:F15"/>
    <mergeCell ref="A19:F19"/>
    <mergeCell ref="A82:G82"/>
    <mergeCell ref="K39:L39"/>
    <mergeCell ref="K42:L42"/>
    <mergeCell ref="K40:L40"/>
    <mergeCell ref="A33:G33"/>
    <mergeCell ref="K35:L35"/>
    <mergeCell ref="K37:L37"/>
    <mergeCell ref="K38:L38"/>
    <mergeCell ref="K33:R33"/>
    <mergeCell ref="A57:G57"/>
    <mergeCell ref="K57:Q57"/>
  </mergeCells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F9A6-A82E-44D6-9E72-8A522ADEFE04}">
  <dimension ref="B5:I59"/>
  <sheetViews>
    <sheetView topLeftCell="A18" zoomScale="70" zoomScaleNormal="70" workbookViewId="0">
      <selection activeCell="C14" sqref="C14"/>
    </sheetView>
  </sheetViews>
  <sheetFormatPr defaultRowHeight="14.4" x14ac:dyDescent="0.3"/>
  <cols>
    <col min="2" max="2" width="30" customWidth="1"/>
    <col min="3" max="3" width="14.77734375" customWidth="1"/>
    <col min="4" max="4" width="18.77734375" customWidth="1"/>
    <col min="5" max="5" width="15.5546875" customWidth="1"/>
    <col min="6" max="6" width="14.6640625" customWidth="1"/>
    <col min="7" max="7" width="13.109375" customWidth="1"/>
    <col min="8" max="8" width="13.77734375" customWidth="1"/>
    <col min="9" max="9" width="16.44140625" customWidth="1"/>
  </cols>
  <sheetData>
    <row r="5" spans="2:8" x14ac:dyDescent="0.3">
      <c r="B5" s="21" t="s">
        <v>65</v>
      </c>
      <c r="C5" s="21"/>
      <c r="D5" s="21"/>
      <c r="E5" s="21"/>
      <c r="F5" s="21"/>
      <c r="G5" s="21"/>
      <c r="H5" s="21"/>
    </row>
    <row r="6" spans="2:8" x14ac:dyDescent="0.3">
      <c r="B6" s="10" t="s">
        <v>0</v>
      </c>
      <c r="C6" s="10" t="s">
        <v>25</v>
      </c>
      <c r="D6" s="10" t="s">
        <v>26</v>
      </c>
      <c r="E6" s="10" t="s">
        <v>12</v>
      </c>
      <c r="F6" s="10" t="s">
        <v>14</v>
      </c>
      <c r="G6" s="10" t="s">
        <v>13</v>
      </c>
    </row>
    <row r="7" spans="2:8" x14ac:dyDescent="0.3">
      <c r="B7" s="1" t="s">
        <v>1</v>
      </c>
      <c r="C7" s="1">
        <v>-7.74</v>
      </c>
      <c r="D7" s="1">
        <v>-3.33</v>
      </c>
      <c r="E7" s="1">
        <v>-5.36</v>
      </c>
      <c r="F7" s="1">
        <v>1.08</v>
      </c>
      <c r="G7" s="1">
        <v>-5.33</v>
      </c>
    </row>
    <row r="8" spans="2:8" x14ac:dyDescent="0.3">
      <c r="B8" s="1" t="s">
        <v>2</v>
      </c>
      <c r="C8" s="1">
        <v>-4.8</v>
      </c>
      <c r="D8" s="1">
        <v>-2.17</v>
      </c>
      <c r="E8" s="1">
        <v>-4.4800000000000004</v>
      </c>
      <c r="F8" s="1">
        <v>0.54</v>
      </c>
      <c r="G8" s="1">
        <v>-3.48</v>
      </c>
    </row>
    <row r="9" spans="2:8" x14ac:dyDescent="0.3">
      <c r="B9" s="1" t="s">
        <v>3</v>
      </c>
      <c r="C9" s="1">
        <v>-7.06</v>
      </c>
      <c r="D9" s="1">
        <v>-3.35</v>
      </c>
      <c r="E9" s="1">
        <v>-4.8</v>
      </c>
      <c r="F9" s="1">
        <v>0.92</v>
      </c>
      <c r="G9" s="1">
        <v>-4.74</v>
      </c>
    </row>
    <row r="10" spans="2:8" x14ac:dyDescent="0.3">
      <c r="B10" s="1" t="s">
        <v>4</v>
      </c>
      <c r="C10" s="1">
        <v>-7.96</v>
      </c>
      <c r="D10" s="1">
        <v>-2.08</v>
      </c>
      <c r="E10" s="1">
        <v>-4.32</v>
      </c>
      <c r="F10" s="1">
        <v>1.38</v>
      </c>
      <c r="G10" s="1">
        <v>-4.1900000000000004</v>
      </c>
    </row>
    <row r="11" spans="2:8" x14ac:dyDescent="0.3">
      <c r="B11" s="1" t="s">
        <v>5</v>
      </c>
      <c r="C11" s="1">
        <v>-6.32</v>
      </c>
      <c r="D11" s="1">
        <v>-3.54</v>
      </c>
      <c r="E11" s="1">
        <v>-5.0199999999999996</v>
      </c>
      <c r="F11" s="1">
        <v>0.69</v>
      </c>
      <c r="G11" s="1">
        <v>-5.0999999999999996</v>
      </c>
    </row>
    <row r="12" spans="2:8" x14ac:dyDescent="0.3">
      <c r="B12" s="1" t="s">
        <v>34</v>
      </c>
      <c r="C12" s="1">
        <v>-7.96</v>
      </c>
      <c r="D12" s="1">
        <v>-2.08</v>
      </c>
      <c r="E12" s="1">
        <v>-4.5999999999999996</v>
      </c>
      <c r="F12" s="1">
        <f>AVERAGE(F7:F11)</f>
        <v>0.92199999999999993</v>
      </c>
      <c r="G12" s="1">
        <v>-4.57</v>
      </c>
    </row>
    <row r="13" spans="2:8" x14ac:dyDescent="0.3">
      <c r="B13" s="10" t="s">
        <v>7</v>
      </c>
      <c r="C13" s="10" t="s">
        <v>9</v>
      </c>
      <c r="D13" s="10" t="s">
        <v>10</v>
      </c>
      <c r="E13" s="10" t="s">
        <v>11</v>
      </c>
    </row>
    <row r="14" spans="2:8" x14ac:dyDescent="0.3">
      <c r="B14" s="1" t="s">
        <v>1</v>
      </c>
      <c r="C14" s="1">
        <v>278.81</v>
      </c>
      <c r="D14" s="1">
        <v>367.05</v>
      </c>
      <c r="E14" s="1">
        <v>0.78820000000000001</v>
      </c>
    </row>
    <row r="15" spans="2:8" x14ac:dyDescent="0.3">
      <c r="B15" s="1" t="s">
        <v>2</v>
      </c>
      <c r="C15" s="1">
        <v>195.24</v>
      </c>
      <c r="D15" s="1">
        <v>269.94</v>
      </c>
      <c r="E15" s="1">
        <v>0.91410000000000002</v>
      </c>
    </row>
    <row r="16" spans="2:8" x14ac:dyDescent="0.3">
      <c r="B16" s="1" t="s">
        <v>3</v>
      </c>
      <c r="C16" s="1">
        <v>279.66000000000003</v>
      </c>
      <c r="D16" s="1">
        <v>394.92</v>
      </c>
      <c r="E16" s="1">
        <v>0.747</v>
      </c>
    </row>
    <row r="17" spans="2:9" x14ac:dyDescent="0.3">
      <c r="B17" s="1" t="s">
        <v>4</v>
      </c>
      <c r="C17" s="1">
        <v>253.94</v>
      </c>
      <c r="D17" s="1">
        <v>322.87</v>
      </c>
      <c r="E17" s="1">
        <v>0.83560000000000001</v>
      </c>
    </row>
    <row r="18" spans="2:9" x14ac:dyDescent="0.3">
      <c r="B18" s="1" t="s">
        <v>5</v>
      </c>
      <c r="C18" s="1">
        <v>233.74</v>
      </c>
      <c r="D18" s="1">
        <v>303.45</v>
      </c>
      <c r="E18" s="1">
        <v>0.87819999999999998</v>
      </c>
    </row>
    <row r="19" spans="2:9" x14ac:dyDescent="0.3">
      <c r="B19" s="1" t="s">
        <v>17</v>
      </c>
      <c r="C19" s="1" t="s">
        <v>42</v>
      </c>
      <c r="D19" s="1" t="s">
        <v>43</v>
      </c>
      <c r="E19" s="1" t="s">
        <v>44</v>
      </c>
    </row>
    <row r="20" spans="2:9" x14ac:dyDescent="0.3">
      <c r="B20" s="10" t="s">
        <v>8</v>
      </c>
      <c r="C20" s="10" t="s">
        <v>18</v>
      </c>
      <c r="D20" s="10" t="s">
        <v>19</v>
      </c>
      <c r="E20" s="10" t="s">
        <v>20</v>
      </c>
      <c r="F20" s="10" t="s">
        <v>21</v>
      </c>
      <c r="G20" s="10" t="s">
        <v>22</v>
      </c>
      <c r="H20" s="10" t="s">
        <v>23</v>
      </c>
      <c r="I20" s="10" t="s">
        <v>24</v>
      </c>
    </row>
    <row r="21" spans="2:9" x14ac:dyDescent="0.3">
      <c r="B21" s="1" t="s">
        <v>1</v>
      </c>
      <c r="C21" s="1">
        <v>0.5</v>
      </c>
      <c r="D21" s="1">
        <v>0.5</v>
      </c>
      <c r="E21" s="1">
        <v>0.58799999999999997</v>
      </c>
      <c r="F21" s="1">
        <v>0.54100000000000004</v>
      </c>
      <c r="G21" s="1">
        <v>0.41199999999999998</v>
      </c>
      <c r="H21" s="1">
        <v>0.56399999999999995</v>
      </c>
      <c r="I21" s="1">
        <v>0.52500000000000002</v>
      </c>
    </row>
    <row r="22" spans="2:9" x14ac:dyDescent="0.3">
      <c r="B22" s="1" t="s">
        <v>2</v>
      </c>
      <c r="C22" s="1">
        <v>0.38200000000000001</v>
      </c>
      <c r="D22" s="1">
        <v>0.75</v>
      </c>
      <c r="E22" s="1">
        <v>0.13</v>
      </c>
      <c r="F22" s="1">
        <v>0.222</v>
      </c>
      <c r="G22" s="1">
        <v>0.90900000000000003</v>
      </c>
      <c r="H22" s="1">
        <v>0.496</v>
      </c>
      <c r="I22" s="1">
        <v>0.70599999999999996</v>
      </c>
    </row>
    <row r="23" spans="2:9" x14ac:dyDescent="0.3">
      <c r="B23" s="1" t="s">
        <v>3</v>
      </c>
      <c r="C23" s="1">
        <v>0.51500000000000001</v>
      </c>
      <c r="D23" s="1">
        <v>0.71399999999999997</v>
      </c>
      <c r="E23" s="1">
        <v>0.45500000000000002</v>
      </c>
      <c r="F23" s="1">
        <v>0.55600000000000005</v>
      </c>
      <c r="G23" s="1">
        <v>0.63600000000000001</v>
      </c>
      <c r="H23" s="1">
        <v>0.60299999999999998</v>
      </c>
      <c r="I23" s="1">
        <v>0.72599999999999998</v>
      </c>
    </row>
    <row r="24" spans="2:9" x14ac:dyDescent="0.3">
      <c r="B24" s="1" t="s">
        <v>4</v>
      </c>
      <c r="C24" s="1">
        <v>0.6</v>
      </c>
      <c r="D24" s="1">
        <v>0.85699999999999998</v>
      </c>
      <c r="E24" s="1">
        <v>0.35299999999999998</v>
      </c>
      <c r="F24" s="1">
        <v>0.5</v>
      </c>
      <c r="G24" s="1">
        <v>0.92300000000000004</v>
      </c>
      <c r="H24" s="1">
        <v>0.73299999999999998</v>
      </c>
      <c r="I24" s="1">
        <v>0.79100000000000004</v>
      </c>
    </row>
    <row r="25" spans="2:9" x14ac:dyDescent="0.3">
      <c r="B25" s="1" t="s">
        <v>5</v>
      </c>
      <c r="C25" s="1">
        <v>0.52900000000000003</v>
      </c>
      <c r="D25" s="1">
        <v>0.53300000000000003</v>
      </c>
      <c r="E25" s="1">
        <v>0.47099999999999997</v>
      </c>
      <c r="F25" s="1">
        <v>0.5</v>
      </c>
      <c r="G25" s="1">
        <v>0.58799999999999997</v>
      </c>
      <c r="H25" s="1">
        <v>0.502</v>
      </c>
      <c r="I25" s="1">
        <v>0.51800000000000002</v>
      </c>
    </row>
    <row r="26" spans="2:9" x14ac:dyDescent="0.3">
      <c r="B26" s="1" t="s">
        <v>17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</row>
    <row r="27" spans="2:9" x14ac:dyDescent="0.3">
      <c r="B27" s="25" t="s">
        <v>96</v>
      </c>
      <c r="C27" s="26"/>
      <c r="D27" s="26"/>
      <c r="E27" s="26"/>
      <c r="F27" s="26"/>
      <c r="G27" s="26"/>
      <c r="H27" s="26"/>
      <c r="I27" s="27"/>
    </row>
    <row r="28" spans="2:9" x14ac:dyDescent="0.3">
      <c r="B28" s="1" t="s">
        <v>1</v>
      </c>
      <c r="C28" s="1">
        <v>0.47099999999999997</v>
      </c>
      <c r="D28" s="1">
        <v>0.47399999999999998</v>
      </c>
      <c r="E28" s="1">
        <v>0.52900000000000003</v>
      </c>
      <c r="F28" s="1">
        <v>0.5</v>
      </c>
      <c r="G28" s="1">
        <v>0.41199999999999998</v>
      </c>
      <c r="H28" s="1">
        <v>0.54700000000000004</v>
      </c>
      <c r="I28" s="1">
        <v>0.51200000000000001</v>
      </c>
    </row>
    <row r="29" spans="2:9" x14ac:dyDescent="0.3">
      <c r="B29" s="1" t="s">
        <v>2</v>
      </c>
      <c r="C29" s="1">
        <v>0.38200000000000001</v>
      </c>
      <c r="D29" s="1">
        <v>0.75</v>
      </c>
      <c r="E29" s="1">
        <v>0.13</v>
      </c>
      <c r="F29" s="1">
        <v>0.222</v>
      </c>
      <c r="G29" s="1">
        <v>0.90900000000000003</v>
      </c>
      <c r="H29" s="1">
        <v>0.50800000000000001</v>
      </c>
      <c r="I29" s="1">
        <v>0.71399999999999997</v>
      </c>
    </row>
    <row r="30" spans="2:9" x14ac:dyDescent="0.3">
      <c r="B30" s="1" t="s">
        <v>3</v>
      </c>
      <c r="C30" s="1">
        <v>0.57599999999999996</v>
      </c>
      <c r="D30" s="1">
        <v>0.75</v>
      </c>
      <c r="E30" s="1">
        <v>0.54500000000000004</v>
      </c>
      <c r="F30" s="1">
        <v>0.63200000000000001</v>
      </c>
      <c r="G30" s="1">
        <v>0.63600000000000001</v>
      </c>
      <c r="H30" s="1">
        <v>0.61599999999999999</v>
      </c>
      <c r="I30" s="1">
        <v>0.74099999999999999</v>
      </c>
    </row>
    <row r="31" spans="2:9" x14ac:dyDescent="0.3">
      <c r="B31" s="1" t="s">
        <v>4</v>
      </c>
      <c r="C31" s="1">
        <v>0.6</v>
      </c>
      <c r="D31" s="1">
        <v>0.85699999999999998</v>
      </c>
      <c r="E31" s="1">
        <v>0.35299999999999998</v>
      </c>
      <c r="F31" s="1">
        <v>0.5</v>
      </c>
      <c r="G31" s="1">
        <v>0.92300000000000004</v>
      </c>
      <c r="H31" s="1">
        <v>0.73299999999999998</v>
      </c>
      <c r="I31" s="1">
        <v>0.79100000000000004</v>
      </c>
    </row>
    <row r="32" spans="2:9" x14ac:dyDescent="0.3">
      <c r="B32" s="1" t="s">
        <v>5</v>
      </c>
      <c r="C32" s="1">
        <v>0.52900000000000003</v>
      </c>
      <c r="D32" s="1">
        <v>0.53300000000000003</v>
      </c>
      <c r="E32" s="1">
        <v>0.47099999999999997</v>
      </c>
      <c r="F32" s="1">
        <v>0.5</v>
      </c>
      <c r="G32" s="1">
        <v>0.58799999999999997</v>
      </c>
      <c r="H32" s="1">
        <v>0.502</v>
      </c>
      <c r="I32" s="1">
        <v>0.51800000000000002</v>
      </c>
    </row>
    <row r="33" spans="2:9" x14ac:dyDescent="0.3">
      <c r="B33" s="1" t="s">
        <v>17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49</v>
      </c>
      <c r="H33" s="1" t="s">
        <v>103</v>
      </c>
      <c r="I33" s="1" t="s">
        <v>104</v>
      </c>
    </row>
    <row r="34" spans="2:9" x14ac:dyDescent="0.3">
      <c r="B34" s="28" t="s">
        <v>97</v>
      </c>
      <c r="C34" s="29"/>
      <c r="D34" s="29"/>
      <c r="E34" s="29"/>
      <c r="F34" s="29"/>
      <c r="G34" s="29"/>
      <c r="H34" s="29"/>
      <c r="I34" s="30"/>
    </row>
    <row r="35" spans="2:9" x14ac:dyDescent="0.3">
      <c r="B35" s="1" t="s">
        <v>1</v>
      </c>
      <c r="C35" s="1">
        <v>0.47099999999999997</v>
      </c>
      <c r="D35" s="1">
        <v>0.47399999999999998</v>
      </c>
      <c r="E35" s="1">
        <v>0.52900000000000003</v>
      </c>
      <c r="F35" s="1">
        <v>0.5</v>
      </c>
      <c r="G35" s="1">
        <v>0.41199999999999998</v>
      </c>
      <c r="H35" s="1">
        <v>0.55000000000000004</v>
      </c>
      <c r="I35" s="1">
        <v>0.51300000000000001</v>
      </c>
    </row>
    <row r="36" spans="2:9" x14ac:dyDescent="0.3">
      <c r="B36" s="1" t="s">
        <v>2</v>
      </c>
      <c r="C36" s="1">
        <v>0.39400000000000002</v>
      </c>
      <c r="D36" s="1">
        <v>0.75</v>
      </c>
      <c r="E36" s="1">
        <v>0.13600000000000001</v>
      </c>
      <c r="F36" s="1">
        <v>0.23100000000000001</v>
      </c>
      <c r="G36" s="1">
        <v>0.90900000000000003</v>
      </c>
      <c r="H36" s="1">
        <v>0.47299999999999998</v>
      </c>
      <c r="I36" s="1">
        <v>0.68400000000000005</v>
      </c>
    </row>
    <row r="37" spans="2:9" x14ac:dyDescent="0.3">
      <c r="B37" s="1" t="s">
        <v>3</v>
      </c>
      <c r="C37" s="1">
        <v>0.57599999999999996</v>
      </c>
      <c r="D37" s="1">
        <v>0.75</v>
      </c>
      <c r="E37" s="1">
        <v>0.54500000000000004</v>
      </c>
      <c r="F37" s="1">
        <v>0.63200000000000001</v>
      </c>
      <c r="G37" s="1">
        <v>0.63600000000000001</v>
      </c>
      <c r="H37" s="1">
        <v>0.60299999999999998</v>
      </c>
      <c r="I37" s="1">
        <v>0.73699999999999999</v>
      </c>
    </row>
    <row r="38" spans="2:9" x14ac:dyDescent="0.3">
      <c r="B38" s="1" t="s">
        <v>4</v>
      </c>
      <c r="C38" s="1">
        <v>0.63300000000000001</v>
      </c>
      <c r="D38" s="1">
        <v>1</v>
      </c>
      <c r="E38" s="1">
        <v>0.35299999999999998</v>
      </c>
      <c r="F38" s="1">
        <v>0.52200000000000002</v>
      </c>
      <c r="G38" s="1">
        <v>1</v>
      </c>
      <c r="H38" s="1">
        <v>0.73299999999999998</v>
      </c>
      <c r="I38" s="1">
        <v>0.83099999999999996</v>
      </c>
    </row>
    <row r="39" spans="2:9" x14ac:dyDescent="0.3">
      <c r="B39" s="1" t="s">
        <v>5</v>
      </c>
      <c r="C39" s="1">
        <v>0.55900000000000005</v>
      </c>
      <c r="D39" s="1">
        <v>0.57099999999999995</v>
      </c>
      <c r="E39" s="1">
        <v>0.47099999999999997</v>
      </c>
      <c r="F39" s="1">
        <v>0.51600000000000001</v>
      </c>
      <c r="G39" s="1">
        <v>0.64700000000000002</v>
      </c>
      <c r="H39" s="1">
        <v>0.60599999999999998</v>
      </c>
      <c r="I39" s="1">
        <v>0.56899999999999995</v>
      </c>
    </row>
    <row r="40" spans="2:9" x14ac:dyDescent="0.3">
      <c r="B40" s="1" t="s">
        <v>17</v>
      </c>
      <c r="C40" s="1" t="s">
        <v>105</v>
      </c>
      <c r="D40" s="1" t="s">
        <v>106</v>
      </c>
      <c r="E40" s="1" t="s">
        <v>107</v>
      </c>
      <c r="F40" s="1" t="s">
        <v>108</v>
      </c>
      <c r="G40" s="1" t="s">
        <v>109</v>
      </c>
      <c r="H40" s="31" t="s">
        <v>110</v>
      </c>
      <c r="I40" s="1" t="s">
        <v>111</v>
      </c>
    </row>
    <row r="41" spans="2:9" x14ac:dyDescent="0.3">
      <c r="B41" s="28" t="s">
        <v>98</v>
      </c>
      <c r="C41" s="29"/>
      <c r="D41" s="29"/>
      <c r="E41" s="29"/>
      <c r="F41" s="29"/>
      <c r="G41" s="29"/>
      <c r="H41" s="29"/>
      <c r="I41" s="30"/>
    </row>
    <row r="42" spans="2:9" x14ac:dyDescent="0.3">
      <c r="B42" s="1" t="s">
        <v>1</v>
      </c>
      <c r="C42" s="1">
        <v>0.47099999999999997</v>
      </c>
      <c r="D42" s="1">
        <v>0.47399999999999998</v>
      </c>
      <c r="E42" s="1">
        <v>0.52900000000000003</v>
      </c>
      <c r="F42" s="1">
        <v>0.5</v>
      </c>
      <c r="G42" s="1">
        <v>0.41199999999999998</v>
      </c>
      <c r="H42" s="1">
        <v>0.54300000000000004</v>
      </c>
      <c r="I42" s="1">
        <v>0.51</v>
      </c>
    </row>
    <row r="43" spans="2:9" x14ac:dyDescent="0.3">
      <c r="B43" s="1" t="s">
        <v>2</v>
      </c>
      <c r="C43" s="1">
        <v>0.39400000000000002</v>
      </c>
      <c r="D43" s="1">
        <v>0.75</v>
      </c>
      <c r="E43" s="1">
        <v>0.13600000000000001</v>
      </c>
      <c r="F43" s="1">
        <v>0.23100000000000001</v>
      </c>
      <c r="G43" s="1">
        <v>0.90900000000000003</v>
      </c>
      <c r="H43" s="1">
        <v>0.48599999999999999</v>
      </c>
      <c r="I43" s="1">
        <v>0.69199999999999995</v>
      </c>
    </row>
    <row r="44" spans="2:9" x14ac:dyDescent="0.3">
      <c r="B44" s="1" t="s">
        <v>3</v>
      </c>
      <c r="C44" s="1">
        <v>0.57599999999999996</v>
      </c>
      <c r="D44" s="1">
        <v>0.78600000000000003</v>
      </c>
      <c r="E44" s="1">
        <v>0.5</v>
      </c>
      <c r="F44" s="1">
        <v>0.61099999999999999</v>
      </c>
      <c r="G44" s="1">
        <v>0.72699999999999998</v>
      </c>
      <c r="H44" s="1">
        <v>0.60099999999999998</v>
      </c>
      <c r="I44" s="1">
        <v>0.75</v>
      </c>
    </row>
    <row r="45" spans="2:9" x14ac:dyDescent="0.3">
      <c r="B45" s="1" t="s">
        <v>4</v>
      </c>
      <c r="C45" s="1">
        <v>0.66700000000000004</v>
      </c>
      <c r="D45" s="1">
        <v>1</v>
      </c>
      <c r="E45" s="1">
        <v>0.41199999999999998</v>
      </c>
      <c r="F45" s="1">
        <v>0.58299999999999996</v>
      </c>
      <c r="G45" s="1">
        <v>1</v>
      </c>
      <c r="H45" s="1">
        <v>0.68300000000000005</v>
      </c>
      <c r="I45" s="1">
        <v>0.79600000000000004</v>
      </c>
    </row>
    <row r="46" spans="2:9" x14ac:dyDescent="0.3">
      <c r="B46" s="1" t="s">
        <v>5</v>
      </c>
      <c r="C46" s="1">
        <v>0.55900000000000005</v>
      </c>
      <c r="D46" s="1">
        <v>0.57099999999999995</v>
      </c>
      <c r="E46" s="1">
        <v>0.47099999999999997</v>
      </c>
      <c r="F46" s="1">
        <v>0.51600000000000001</v>
      </c>
      <c r="G46" s="1">
        <v>0.64700000000000002</v>
      </c>
      <c r="H46" s="1">
        <v>0.61199999999999999</v>
      </c>
      <c r="I46" s="1">
        <v>0.57299999999999995</v>
      </c>
    </row>
    <row r="47" spans="2:9" x14ac:dyDescent="0.3">
      <c r="B47" s="1" t="s">
        <v>17</v>
      </c>
      <c r="C47" s="1" t="s">
        <v>112</v>
      </c>
      <c r="D47" s="1" t="s">
        <v>113</v>
      </c>
      <c r="E47" s="1" t="s">
        <v>114</v>
      </c>
      <c r="F47" s="1" t="s">
        <v>115</v>
      </c>
      <c r="G47" s="1" t="s">
        <v>116</v>
      </c>
      <c r="H47" s="1" t="s">
        <v>117</v>
      </c>
      <c r="I47" s="1" t="s">
        <v>118</v>
      </c>
    </row>
    <row r="54" spans="2:9" x14ac:dyDescent="0.3">
      <c r="B54" s="33" t="s">
        <v>119</v>
      </c>
      <c r="C54" s="15" t="s">
        <v>18</v>
      </c>
      <c r="D54" s="15" t="s">
        <v>19</v>
      </c>
      <c r="E54" s="15" t="s">
        <v>20</v>
      </c>
      <c r="F54" s="15" t="s">
        <v>21</v>
      </c>
      <c r="G54" s="15" t="s">
        <v>22</v>
      </c>
      <c r="H54" s="15" t="s">
        <v>23</v>
      </c>
      <c r="I54" s="16" t="s">
        <v>24</v>
      </c>
    </row>
    <row r="55" spans="2:9" x14ac:dyDescent="0.3">
      <c r="B55" s="18" t="s">
        <v>120</v>
      </c>
      <c r="C55" s="1" t="s">
        <v>45</v>
      </c>
      <c r="D55" s="1" t="s">
        <v>46</v>
      </c>
      <c r="E55" s="1" t="s">
        <v>47</v>
      </c>
      <c r="F55" s="1" t="s">
        <v>48</v>
      </c>
      <c r="G55" s="1" t="s">
        <v>49</v>
      </c>
      <c r="H55" s="1" t="s">
        <v>50</v>
      </c>
      <c r="I55" s="2" t="s">
        <v>51</v>
      </c>
    </row>
    <row r="56" spans="2:9" x14ac:dyDescent="0.3">
      <c r="B56" s="18" t="s">
        <v>96</v>
      </c>
      <c r="C56" s="1" t="s">
        <v>99</v>
      </c>
      <c r="D56" s="1" t="s">
        <v>100</v>
      </c>
      <c r="E56" s="1" t="s">
        <v>101</v>
      </c>
      <c r="F56" s="1" t="s">
        <v>102</v>
      </c>
      <c r="G56" s="1" t="s">
        <v>49</v>
      </c>
      <c r="H56" s="1" t="s">
        <v>103</v>
      </c>
      <c r="I56" s="2" t="s">
        <v>104</v>
      </c>
    </row>
    <row r="57" spans="2:9" x14ac:dyDescent="0.3">
      <c r="B57" s="18" t="s">
        <v>97</v>
      </c>
      <c r="C57" s="1" t="s">
        <v>105</v>
      </c>
      <c r="D57" s="1" t="s">
        <v>106</v>
      </c>
      <c r="E57" s="1" t="s">
        <v>107</v>
      </c>
      <c r="F57" s="1" t="s">
        <v>108</v>
      </c>
      <c r="G57" s="1" t="s">
        <v>109</v>
      </c>
      <c r="H57" s="10" t="s">
        <v>110</v>
      </c>
      <c r="I57" s="12" t="s">
        <v>111</v>
      </c>
    </row>
    <row r="58" spans="2:9" x14ac:dyDescent="0.3">
      <c r="B58" s="32" t="s">
        <v>98</v>
      </c>
      <c r="C58" s="9" t="s">
        <v>112</v>
      </c>
      <c r="D58" s="9" t="s">
        <v>113</v>
      </c>
      <c r="E58" s="9" t="s">
        <v>114</v>
      </c>
      <c r="F58" s="9" t="s">
        <v>115</v>
      </c>
      <c r="G58" s="9" t="s">
        <v>116</v>
      </c>
      <c r="H58" s="5" t="s">
        <v>117</v>
      </c>
      <c r="I58" s="17" t="s">
        <v>118</v>
      </c>
    </row>
    <row r="59" spans="2:9" x14ac:dyDescent="0.3">
      <c r="B59" s="4"/>
    </row>
  </sheetData>
  <mergeCells count="4">
    <mergeCell ref="B5:H5"/>
    <mergeCell ref="B27:I27"/>
    <mergeCell ref="B34:I34"/>
    <mergeCell ref="B41:I4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0A52-CD85-4292-9784-F5185C912A5C}">
  <dimension ref="A2:H48"/>
  <sheetViews>
    <sheetView topLeftCell="A23" workbookViewId="0">
      <selection activeCell="D40" sqref="D40"/>
    </sheetView>
  </sheetViews>
  <sheetFormatPr defaultRowHeight="14.4" x14ac:dyDescent="0.3"/>
  <cols>
    <col min="1" max="1" width="8.88671875" customWidth="1"/>
    <col min="2" max="2" width="14.88671875" customWidth="1"/>
    <col min="3" max="3" width="13.88671875" customWidth="1"/>
    <col min="4" max="4" width="14.5546875" customWidth="1"/>
    <col min="5" max="5" width="13.77734375" customWidth="1"/>
    <col min="6" max="6" width="12.77734375" customWidth="1"/>
    <col min="7" max="7" width="13.109375" customWidth="1"/>
    <col min="8" max="8" width="12.6640625" customWidth="1"/>
  </cols>
  <sheetData>
    <row r="2" spans="1:8" x14ac:dyDescent="0.3">
      <c r="A2" t="s">
        <v>139</v>
      </c>
      <c r="B2" t="s">
        <v>18</v>
      </c>
      <c r="C2" t="s">
        <v>19</v>
      </c>
      <c r="D2" t="s">
        <v>20</v>
      </c>
      <c r="E2" t="s">
        <v>123</v>
      </c>
      <c r="F2" t="s">
        <v>22</v>
      </c>
      <c r="G2" t="s">
        <v>23</v>
      </c>
      <c r="H2" t="s">
        <v>24</v>
      </c>
    </row>
    <row r="3" spans="1:8" x14ac:dyDescent="0.3">
      <c r="A3" t="s">
        <v>140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</row>
    <row r="4" spans="1:8" x14ac:dyDescent="0.3">
      <c r="A4" t="s">
        <v>141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</row>
    <row r="7" spans="1:8" x14ac:dyDescent="0.3">
      <c r="A7" t="s">
        <v>131</v>
      </c>
    </row>
    <row r="8" spans="1:8" x14ac:dyDescent="0.3">
      <c r="A8" t="s">
        <v>122</v>
      </c>
      <c r="B8" t="s">
        <v>18</v>
      </c>
      <c r="C8" t="s">
        <v>19</v>
      </c>
      <c r="D8" t="s">
        <v>20</v>
      </c>
      <c r="E8" t="s">
        <v>123</v>
      </c>
      <c r="F8" t="s">
        <v>22</v>
      </c>
      <c r="G8" t="s">
        <v>23</v>
      </c>
      <c r="H8" t="s">
        <v>24</v>
      </c>
    </row>
    <row r="9" spans="1:8" x14ac:dyDescent="0.3">
      <c r="A9">
        <v>0</v>
      </c>
      <c r="B9">
        <v>0.41199999999999998</v>
      </c>
      <c r="C9">
        <v>0.28599999999999998</v>
      </c>
      <c r="D9">
        <v>0.11799999999999999</v>
      </c>
      <c r="E9">
        <v>0.16700000000000001</v>
      </c>
      <c r="F9">
        <v>0.70599999999999996</v>
      </c>
      <c r="G9">
        <v>0.39100000000000001</v>
      </c>
      <c r="H9">
        <v>0.45100000000000001</v>
      </c>
    </row>
    <row r="10" spans="1:8" x14ac:dyDescent="0.3">
      <c r="A10">
        <v>1</v>
      </c>
      <c r="B10">
        <v>0.61799999999999999</v>
      </c>
      <c r="C10">
        <v>0.85699999999999998</v>
      </c>
      <c r="D10">
        <v>0.52200000000000002</v>
      </c>
      <c r="E10">
        <v>0.64900000000000002</v>
      </c>
      <c r="F10">
        <v>0.81799999999999995</v>
      </c>
      <c r="G10">
        <v>0.69799999999999995</v>
      </c>
      <c r="H10">
        <v>0.79700000000000004</v>
      </c>
    </row>
    <row r="11" spans="1:8" x14ac:dyDescent="0.3">
      <c r="A11">
        <v>2</v>
      </c>
      <c r="B11">
        <v>0.45500000000000002</v>
      </c>
      <c r="C11">
        <v>0.64300000000000002</v>
      </c>
      <c r="D11">
        <v>0.40899999999999997</v>
      </c>
      <c r="E11">
        <v>0.5</v>
      </c>
      <c r="F11">
        <v>0.54500000000000004</v>
      </c>
      <c r="G11">
        <v>0.5</v>
      </c>
      <c r="H11">
        <v>0.65900000000000003</v>
      </c>
    </row>
    <row r="12" spans="1:8" x14ac:dyDescent="0.3">
      <c r="A12">
        <v>3</v>
      </c>
      <c r="B12">
        <v>0.433</v>
      </c>
      <c r="C12">
        <v>0.5</v>
      </c>
      <c r="D12">
        <v>0.47099999999999997</v>
      </c>
      <c r="E12">
        <v>0.48499999999999999</v>
      </c>
      <c r="F12">
        <v>0.38500000000000001</v>
      </c>
      <c r="G12">
        <v>0.38900000000000001</v>
      </c>
      <c r="H12">
        <v>0.51800000000000002</v>
      </c>
    </row>
    <row r="13" spans="1:8" x14ac:dyDescent="0.3">
      <c r="A13">
        <v>4</v>
      </c>
      <c r="B13">
        <v>0.47099999999999997</v>
      </c>
      <c r="C13">
        <v>0.46700000000000003</v>
      </c>
      <c r="D13">
        <v>0.41199999999999998</v>
      </c>
      <c r="E13">
        <v>0.438</v>
      </c>
      <c r="F13">
        <v>0.52900000000000003</v>
      </c>
      <c r="G13">
        <v>0.436</v>
      </c>
      <c r="H13">
        <v>0.48599999999999999</v>
      </c>
    </row>
    <row r="14" spans="1:8" x14ac:dyDescent="0.3">
      <c r="A14" t="s">
        <v>17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</row>
    <row r="17" spans="1:8" x14ac:dyDescent="0.3">
      <c r="A17" t="s">
        <v>121</v>
      </c>
    </row>
    <row r="18" spans="1:8" x14ac:dyDescent="0.3">
      <c r="A18" t="s">
        <v>122</v>
      </c>
      <c r="B18" t="s">
        <v>18</v>
      </c>
      <c r="C18" t="s">
        <v>19</v>
      </c>
      <c r="D18" t="s">
        <v>20</v>
      </c>
      <c r="E18" t="s">
        <v>123</v>
      </c>
      <c r="F18" t="s">
        <v>22</v>
      </c>
      <c r="G18" t="s">
        <v>23</v>
      </c>
      <c r="H18" t="s">
        <v>24</v>
      </c>
    </row>
    <row r="19" spans="1:8" x14ac:dyDescent="0.3">
      <c r="A19">
        <v>0</v>
      </c>
      <c r="B19">
        <v>0.441</v>
      </c>
      <c r="C19">
        <v>0.375</v>
      </c>
      <c r="D19">
        <v>0.17599999999999999</v>
      </c>
      <c r="E19">
        <v>0.24</v>
      </c>
      <c r="F19">
        <v>0.70599999999999996</v>
      </c>
      <c r="G19">
        <v>0.43099999999999999</v>
      </c>
      <c r="H19">
        <v>0.46700000000000003</v>
      </c>
    </row>
    <row r="20" spans="1:8" x14ac:dyDescent="0.3">
      <c r="A20">
        <v>1</v>
      </c>
      <c r="B20">
        <v>0.47099999999999997</v>
      </c>
      <c r="C20">
        <v>0.77800000000000002</v>
      </c>
      <c r="D20">
        <v>0.30399999999999999</v>
      </c>
      <c r="E20">
        <v>0.438</v>
      </c>
      <c r="F20">
        <v>0.81799999999999995</v>
      </c>
      <c r="G20">
        <v>0.63800000000000001</v>
      </c>
      <c r="H20">
        <v>0.751</v>
      </c>
    </row>
    <row r="21" spans="1:8" x14ac:dyDescent="0.3">
      <c r="A21">
        <v>2</v>
      </c>
      <c r="B21">
        <v>0.51500000000000001</v>
      </c>
      <c r="C21">
        <v>0.68799999999999994</v>
      </c>
      <c r="D21">
        <v>0.5</v>
      </c>
      <c r="E21">
        <v>0.57899999999999996</v>
      </c>
      <c r="F21">
        <v>0.54500000000000004</v>
      </c>
      <c r="G21">
        <v>0.59699999999999998</v>
      </c>
      <c r="H21">
        <v>0.70099999999999996</v>
      </c>
    </row>
    <row r="22" spans="1:8" x14ac:dyDescent="0.3">
      <c r="A22">
        <v>3</v>
      </c>
      <c r="B22">
        <v>0.46700000000000003</v>
      </c>
      <c r="C22">
        <v>0.53300000000000003</v>
      </c>
      <c r="D22">
        <v>0.47099999999999997</v>
      </c>
      <c r="E22">
        <v>0.5</v>
      </c>
      <c r="F22">
        <v>0.46200000000000002</v>
      </c>
      <c r="G22">
        <v>0.40500000000000003</v>
      </c>
      <c r="H22">
        <v>0.55100000000000005</v>
      </c>
    </row>
    <row r="23" spans="1:8" x14ac:dyDescent="0.3">
      <c r="A23">
        <v>4</v>
      </c>
      <c r="B23">
        <v>0.47099999999999997</v>
      </c>
      <c r="C23">
        <v>0.47099999999999997</v>
      </c>
      <c r="D23">
        <v>0.47099999999999997</v>
      </c>
      <c r="E23">
        <v>0.47099999999999997</v>
      </c>
      <c r="F23">
        <v>0.47099999999999997</v>
      </c>
      <c r="G23">
        <v>0.45500000000000002</v>
      </c>
      <c r="H23">
        <v>0.48599999999999999</v>
      </c>
    </row>
    <row r="24" spans="1:8" x14ac:dyDescent="0.3">
      <c r="A24" t="s">
        <v>17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</row>
    <row r="28" spans="1:8" x14ac:dyDescent="0.3">
      <c r="A28" t="s">
        <v>142</v>
      </c>
    </row>
    <row r="29" spans="1:8" x14ac:dyDescent="0.3">
      <c r="A29" t="s">
        <v>143</v>
      </c>
    </row>
    <row r="30" spans="1:8" x14ac:dyDescent="0.3">
      <c r="A30" t="s">
        <v>144</v>
      </c>
    </row>
    <row r="32" spans="1:8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9" spans="1:1" x14ac:dyDescent="0.3">
      <c r="A39" t="s">
        <v>151</v>
      </c>
    </row>
    <row r="40" spans="1:1" x14ac:dyDescent="0.3">
      <c r="A40" t="s">
        <v>152</v>
      </c>
    </row>
    <row r="41" spans="1:1" x14ac:dyDescent="0.3">
      <c r="A41" t="s">
        <v>151</v>
      </c>
    </row>
    <row r="42" spans="1:1" x14ac:dyDescent="0.3">
      <c r="A42" t="s">
        <v>153</v>
      </c>
    </row>
    <row r="43" spans="1:1" x14ac:dyDescent="0.3">
      <c r="A43" t="s">
        <v>154</v>
      </c>
    </row>
    <row r="44" spans="1:1" x14ac:dyDescent="0.3">
      <c r="A44" t="s">
        <v>155</v>
      </c>
    </row>
    <row r="45" spans="1:1" x14ac:dyDescent="0.3">
      <c r="A45" t="s">
        <v>156</v>
      </c>
    </row>
    <row r="46" spans="1:1" x14ac:dyDescent="0.3">
      <c r="A46" t="s">
        <v>157</v>
      </c>
    </row>
    <row r="47" spans="1:1" x14ac:dyDescent="0.3">
      <c r="A47" t="s">
        <v>158</v>
      </c>
    </row>
    <row r="48" spans="1:1" x14ac:dyDescent="0.3">
      <c r="A48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Tables_comparison</vt:lpstr>
      <vt:lpstr>CNN_Corrected</vt:lpstr>
      <vt:lpstr>FVC@52 Predictor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Passiatore  Francesco</dc:creator>
  <cp:lastModifiedBy>Passiatore  Francesco</cp:lastModifiedBy>
  <dcterms:created xsi:type="dcterms:W3CDTF">2026-01-21T15:06:18Z</dcterms:created>
  <dcterms:modified xsi:type="dcterms:W3CDTF">2026-01-28T10:35:40Z</dcterms:modified>
</cp:coreProperties>
</file>